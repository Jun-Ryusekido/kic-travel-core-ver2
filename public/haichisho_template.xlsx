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Ls220d8cb\kic_date\INBOUND\2026\KULIN KUMAR\20260615 【KIC0852_KK】\"/>
    </mc:Choice>
  </mc:AlternateContent>
  <xr:revisionPtr revIDLastSave="0" documentId="13_ncr:1_{9EDBA095-1BAF-4586-8CD6-4CFBE9BCF8FF}" xr6:coauthVersionLast="47" xr6:coauthVersionMax="47" xr10:uidLastSave="{00000000-0000-0000-0000-000000000000}"/>
  <bookViews>
    <workbookView xWindow="-110" yWindow="-110" windowWidth="19420" windowHeight="10300" activeTab="5" xr2:uid="{24F89C4D-9FD6-403C-882D-1E2A61FDAD7E}"/>
  </bookViews>
  <sheets>
    <sheet name="F (輝岩2)" sheetId="17" r:id="rId1"/>
    <sheet name="F (総企" sheetId="15" r:id="rId2"/>
    <sheet name="F (狩野" sheetId="14" r:id="rId3"/>
    <sheet name="F (輝岩" sheetId="13" r:id="rId4"/>
    <sheet name="ENG" sheetId="16" r:id="rId5"/>
    <sheet name="F" sheetId="11" r:id="rId6"/>
  </sheets>
  <definedNames>
    <definedName name="__bookmark_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1" i="17" l="1"/>
  <c r="AG19" i="17"/>
  <c r="AG17" i="17"/>
  <c r="AG75" i="17"/>
  <c r="AG73" i="17"/>
  <c r="A29" i="17"/>
  <c r="A35" i="17"/>
  <c r="A41" i="17" s="1"/>
  <c r="A47" i="17" s="1"/>
  <c r="A53" i="17" s="1"/>
  <c r="A59" i="17" s="1"/>
  <c r="A65" i="17" s="1"/>
  <c r="A71" i="17" s="1"/>
  <c r="A77" i="17" s="1"/>
  <c r="A23" i="17"/>
  <c r="AI81" i="17" l="1"/>
  <c r="AG81" i="17"/>
  <c r="AI79" i="17"/>
  <c r="AG79" i="17"/>
  <c r="AI77" i="17"/>
  <c r="AG77" i="17"/>
  <c r="AI75" i="17"/>
  <c r="AI73" i="17"/>
  <c r="AI71" i="17"/>
  <c r="AG71" i="17"/>
  <c r="AI69" i="17"/>
  <c r="AG69" i="17"/>
  <c r="AI67" i="17"/>
  <c r="AG67" i="17"/>
  <c r="AI65" i="17"/>
  <c r="AG65" i="17"/>
  <c r="AI63" i="17"/>
  <c r="AG63" i="17"/>
  <c r="AI61" i="17"/>
  <c r="AG61" i="17"/>
  <c r="AI59" i="17"/>
  <c r="AG59" i="17"/>
  <c r="AI57" i="17"/>
  <c r="AG57" i="17"/>
  <c r="AI55" i="17"/>
  <c r="AG55" i="17"/>
  <c r="AI53" i="17"/>
  <c r="AG53" i="17"/>
  <c r="AI51" i="17"/>
  <c r="AG51" i="17"/>
  <c r="AI49" i="17"/>
  <c r="AG49" i="17"/>
  <c r="AI47" i="17"/>
  <c r="AG47" i="17"/>
  <c r="AI45" i="17"/>
  <c r="AG45" i="17"/>
  <c r="AI43" i="17"/>
  <c r="AG43" i="17"/>
  <c r="AI41" i="17"/>
  <c r="AG41" i="17"/>
  <c r="AI39" i="17"/>
  <c r="AG39" i="17"/>
  <c r="AI37" i="17"/>
  <c r="AG37" i="17"/>
  <c r="AI35" i="17"/>
  <c r="AG35" i="17"/>
  <c r="AI33" i="17"/>
  <c r="AG33" i="17"/>
  <c r="AI31" i="17"/>
  <c r="AG31" i="17"/>
  <c r="AI29" i="17"/>
  <c r="AG29" i="17"/>
  <c r="AI27" i="17"/>
  <c r="AG27" i="17"/>
  <c r="AI25" i="17"/>
  <c r="AG25" i="17"/>
  <c r="AI23" i="17"/>
  <c r="AG23" i="17"/>
  <c r="AI21" i="17"/>
  <c r="B21" i="17"/>
  <c r="AI19" i="17"/>
  <c r="AI17" i="17"/>
  <c r="B17" i="17"/>
  <c r="AF17" i="17" s="1"/>
  <c r="AI15" i="17"/>
  <c r="AG15" i="17"/>
  <c r="B15" i="17"/>
  <c r="AI13" i="17"/>
  <c r="AG13" i="17"/>
  <c r="AI11" i="17"/>
  <c r="AG11" i="17"/>
  <c r="AF11" i="17"/>
  <c r="AG8" i="17"/>
  <c r="AI63" i="11"/>
  <c r="A27" i="16"/>
  <c r="A47" i="16" s="1"/>
  <c r="A66" i="16" s="1"/>
  <c r="A76" i="16" s="1"/>
  <c r="A94" i="16" s="1"/>
  <c r="A109" i="16" s="1"/>
  <c r="A128" i="16" s="1"/>
  <c r="A145" i="16" s="1"/>
  <c r="A160" i="16" s="1"/>
  <c r="A170" i="16" s="1"/>
  <c r="B11" i="16"/>
  <c r="B27" i="16" s="1"/>
  <c r="B47" i="16" s="1"/>
  <c r="B66" i="16" s="1"/>
  <c r="B76" i="16" s="1"/>
  <c r="B94" i="16" s="1"/>
  <c r="B109" i="16" s="1"/>
  <c r="B128" i="16" s="1"/>
  <c r="B145" i="16" s="1"/>
  <c r="B160" i="16" s="1"/>
  <c r="B170" i="16" s="1"/>
  <c r="F7" i="16"/>
  <c r="F6" i="16"/>
  <c r="B17" i="15"/>
  <c r="B23" i="15" s="1"/>
  <c r="B15" i="15"/>
  <c r="B17" i="14"/>
  <c r="B21" i="14" s="1"/>
  <c r="B15" i="14"/>
  <c r="B17" i="13"/>
  <c r="B23" i="13" s="1"/>
  <c r="B15" i="13"/>
  <c r="AG63" i="11"/>
  <c r="AI75" i="11"/>
  <c r="AG75" i="11"/>
  <c r="AI73" i="11"/>
  <c r="AG73" i="11"/>
  <c r="AI71" i="11"/>
  <c r="AG71" i="11"/>
  <c r="AI69" i="11"/>
  <c r="AG69" i="11"/>
  <c r="AI67" i="11"/>
  <c r="AG67" i="11"/>
  <c r="AI65" i="11"/>
  <c r="AG65" i="11"/>
  <c r="AI61" i="11"/>
  <c r="AG61" i="11"/>
  <c r="AI59" i="11"/>
  <c r="AG59" i="11"/>
  <c r="AI57" i="11"/>
  <c r="AG57" i="11"/>
  <c r="AI55" i="11"/>
  <c r="AG55" i="11"/>
  <c r="AI53" i="11"/>
  <c r="AG53" i="11"/>
  <c r="AI51" i="11"/>
  <c r="AG51" i="11"/>
  <c r="AI49" i="11"/>
  <c r="AG49" i="11"/>
  <c r="AI47" i="11"/>
  <c r="AG47" i="11"/>
  <c r="AI45" i="11"/>
  <c r="AG45" i="11"/>
  <c r="AI43" i="11"/>
  <c r="AG43" i="11"/>
  <c r="AI41" i="11"/>
  <c r="AG41" i="11"/>
  <c r="AI39" i="11"/>
  <c r="AG39" i="11"/>
  <c r="AI37" i="11"/>
  <c r="AG37" i="11"/>
  <c r="AI35" i="11"/>
  <c r="AG35" i="11"/>
  <c r="AI33" i="11"/>
  <c r="AG33" i="11"/>
  <c r="AI31" i="11"/>
  <c r="AG31" i="11"/>
  <c r="AI29" i="11"/>
  <c r="AG29" i="11"/>
  <c r="AI27" i="11"/>
  <c r="AG27" i="11"/>
  <c r="AI25" i="11"/>
  <c r="AG25" i="11"/>
  <c r="AI23" i="11"/>
  <c r="AG23" i="11"/>
  <c r="AI21" i="11"/>
  <c r="AG21" i="11"/>
  <c r="AI19" i="11"/>
  <c r="AG19" i="11"/>
  <c r="AI17" i="11"/>
  <c r="AG17" i="11"/>
  <c r="B17" i="11"/>
  <c r="AI15" i="11"/>
  <c r="AG15" i="11"/>
  <c r="B15" i="11"/>
  <c r="AI13" i="11"/>
  <c r="AG13" i="11"/>
  <c r="AI11" i="11"/>
  <c r="AG11" i="11"/>
  <c r="AF11" i="11"/>
  <c r="AG8" i="11"/>
  <c r="B23" i="17" l="1"/>
  <c r="B27" i="17" s="1"/>
  <c r="B27" i="15"/>
  <c r="B29" i="15"/>
  <c r="B21" i="15"/>
  <c r="B23" i="14"/>
  <c r="B27" i="13"/>
  <c r="B29" i="13"/>
  <c r="B21" i="13"/>
  <c r="B21" i="11"/>
  <c r="AF17" i="11"/>
  <c r="B23" i="11"/>
  <c r="AF23" i="17" l="1"/>
  <c r="B29" i="17"/>
  <c r="B33" i="17" s="1"/>
  <c r="B35" i="15"/>
  <c r="B33" i="15"/>
  <c r="B27" i="14"/>
  <c r="B29" i="14"/>
  <c r="B33" i="13"/>
  <c r="B35" i="13"/>
  <c r="AF23" i="11"/>
  <c r="B29" i="11"/>
  <c r="B27" i="11"/>
  <c r="AF29" i="17" l="1"/>
  <c r="B35" i="17"/>
  <c r="B41" i="17"/>
  <c r="AF35" i="17"/>
  <c r="B39" i="17"/>
  <c r="B41" i="15"/>
  <c r="B39" i="15"/>
  <c r="B33" i="14"/>
  <c r="B35" i="14"/>
  <c r="B39" i="13"/>
  <c r="B41" i="13"/>
  <c r="B35" i="11"/>
  <c r="AF29" i="11"/>
  <c r="B33" i="11"/>
  <c r="B47" i="17" l="1"/>
  <c r="AF41" i="17"/>
  <c r="B45" i="17"/>
  <c r="B47" i="15"/>
  <c r="B45" i="15"/>
  <c r="B39" i="14"/>
  <c r="B41" i="14"/>
  <c r="B45" i="13"/>
  <c r="B47" i="13"/>
  <c r="B39" i="11"/>
  <c r="AF35" i="11"/>
  <c r="B41" i="11"/>
  <c r="B53" i="17" l="1"/>
  <c r="AF47" i="17"/>
  <c r="B51" i="17"/>
  <c r="B51" i="15"/>
  <c r="B53" i="15"/>
  <c r="B47" i="14"/>
  <c r="B45" i="14"/>
  <c r="B51" i="13"/>
  <c r="B53" i="13"/>
  <c r="B47" i="11"/>
  <c r="B45" i="11"/>
  <c r="AF41" i="11"/>
  <c r="B59" i="17" l="1"/>
  <c r="AF53" i="17"/>
  <c r="B57" i="17"/>
  <c r="B59" i="15"/>
  <c r="B57" i="15"/>
  <c r="B51" i="14"/>
  <c r="B53" i="14"/>
  <c r="B59" i="13"/>
  <c r="B57" i="13"/>
  <c r="B51" i="11"/>
  <c r="B53" i="11"/>
  <c r="AF47" i="11"/>
  <c r="B65" i="17" l="1"/>
  <c r="AF59" i="17"/>
  <c r="B63" i="17"/>
  <c r="B65" i="15"/>
  <c r="B63" i="15"/>
  <c r="B59" i="14"/>
  <c r="B57" i="14"/>
  <c r="B65" i="13"/>
  <c r="B63" i="13"/>
  <c r="B57" i="11"/>
  <c r="B59" i="11"/>
  <c r="AF53" i="11"/>
  <c r="B71" i="17" l="1"/>
  <c r="B77" i="17" s="1"/>
  <c r="B69" i="17"/>
  <c r="AF65" i="17"/>
  <c r="B71" i="15"/>
  <c r="B75" i="15" s="1"/>
  <c r="B69" i="15"/>
  <c r="B65" i="14"/>
  <c r="B63" i="14"/>
  <c r="B71" i="13"/>
  <c r="B69" i="13"/>
  <c r="AF59" i="11"/>
  <c r="B63" i="11"/>
  <c r="B65" i="11"/>
  <c r="B75" i="17" l="1"/>
  <c r="AF71" i="17"/>
  <c r="B71" i="14"/>
  <c r="B75" i="14" s="1"/>
  <c r="B69" i="14"/>
  <c r="B75" i="13"/>
  <c r="AF65" i="11"/>
  <c r="B69" i="11"/>
  <c r="B71" i="11"/>
  <c r="B81" i="17" l="1"/>
  <c r="AF77" i="17"/>
  <c r="B75" i="11"/>
  <c r="AF71" i="11"/>
</calcChain>
</file>

<file path=xl/sharedStrings.xml><?xml version="1.0" encoding="utf-8"?>
<sst xmlns="http://schemas.openxmlformats.org/spreadsheetml/2006/main" count="1216" uniqueCount="381">
  <si>
    <t>Tour Code</t>
    <phoneticPr fontId="4"/>
  </si>
  <si>
    <t>バス看板名</t>
    <rPh sb="2" eb="5">
      <t>カンバンメイ</t>
    </rPh>
    <phoneticPr fontId="4"/>
  </si>
  <si>
    <t>No. PAX</t>
    <phoneticPr fontId="4"/>
  </si>
  <si>
    <t>Flight Information</t>
    <phoneticPr fontId="4"/>
  </si>
  <si>
    <t>Guide</t>
    <phoneticPr fontId="4"/>
  </si>
  <si>
    <t>国籍：インド</t>
    <rPh sb="0" eb="2">
      <t>コクセキ</t>
    </rPh>
    <phoneticPr fontId="4"/>
  </si>
  <si>
    <t>ARR:</t>
    <phoneticPr fontId="4"/>
  </si>
  <si>
    <t>KULIN KUMAR HOLIDAYS</t>
    <phoneticPr fontId="6"/>
  </si>
  <si>
    <t>DEP:</t>
    <phoneticPr fontId="4"/>
  </si>
  <si>
    <t>DATE</t>
    <phoneticPr fontId="4"/>
  </si>
  <si>
    <t>BUS</t>
    <phoneticPr fontId="4"/>
  </si>
  <si>
    <t>ITINERARY</t>
    <phoneticPr fontId="4"/>
  </si>
  <si>
    <t>OTHERS</t>
    <phoneticPr fontId="4"/>
  </si>
  <si>
    <t>HOTEL</t>
    <phoneticPr fontId="4"/>
  </si>
  <si>
    <t>RESTAURANT</t>
    <phoneticPr fontId="4"/>
  </si>
  <si>
    <t>B:X</t>
    <phoneticPr fontId="6"/>
  </si>
  <si>
    <t>東京</t>
    <rPh sb="0" eb="2">
      <t>トウキョウ</t>
    </rPh>
    <phoneticPr fontId="6"/>
  </si>
  <si>
    <t>B:ホテル</t>
    <phoneticPr fontId="6"/>
  </si>
  <si>
    <t>京都</t>
    <rPh sb="0" eb="2">
      <t>キョウト</t>
    </rPh>
    <phoneticPr fontId="6"/>
  </si>
  <si>
    <t>大阪</t>
    <rPh sb="0" eb="2">
      <t>オオサカ</t>
    </rPh>
    <phoneticPr fontId="6"/>
  </si>
  <si>
    <t>KIC TRAVEL</t>
    <phoneticPr fontId="3"/>
  </si>
  <si>
    <t>L:ADY</t>
    <phoneticPr fontId="6"/>
  </si>
  <si>
    <t>D:ADY</t>
    <phoneticPr fontId="6"/>
  </si>
  <si>
    <t>D:モティ六本木</t>
    <rPh sb="5" eb="8">
      <t>ロッポンギ</t>
    </rPh>
    <phoneticPr fontId="6"/>
  </si>
  <si>
    <t>082-924-1166</t>
    <phoneticPr fontId="3"/>
  </si>
  <si>
    <t>03-6457-9833</t>
    <phoneticPr fontId="3"/>
  </si>
  <si>
    <t>03-3479-1939</t>
    <phoneticPr fontId="3"/>
  </si>
  <si>
    <t>03-6809-2158</t>
    <phoneticPr fontId="3"/>
  </si>
  <si>
    <t>L:アーンドラ大門</t>
    <rPh sb="7" eb="9">
      <t>ダイモン</t>
    </rPh>
    <phoneticPr fontId="6"/>
  </si>
  <si>
    <t>利用レストラン一覧</t>
    <rPh sb="0" eb="2">
      <t>リヨウ</t>
    </rPh>
    <rPh sb="7" eb="9">
      <t>イチラン</t>
    </rPh>
    <phoneticPr fontId="3"/>
  </si>
  <si>
    <t>日にち</t>
    <rPh sb="0" eb="1">
      <t>ヒ</t>
    </rPh>
    <phoneticPr fontId="3"/>
  </si>
  <si>
    <t>レストラン名</t>
    <rPh sb="5" eb="6">
      <t>メイ</t>
    </rPh>
    <phoneticPr fontId="3"/>
  </si>
  <si>
    <t>住所</t>
    <rPh sb="0" eb="2">
      <t>ジュウショ</t>
    </rPh>
    <phoneticPr fontId="3"/>
  </si>
  <si>
    <t>電話番号</t>
    <rPh sb="0" eb="4">
      <t>デンワバンゴウ</t>
    </rPh>
    <phoneticPr fontId="3"/>
  </si>
  <si>
    <t>※重要：必ず、前日にホテル、レストランには人数確認をする。ツアーリーダーの英語日程とすりあわせをすること！</t>
    <phoneticPr fontId="3"/>
  </si>
  <si>
    <t>※meal voucherは食事を取った人数(添乗員・ガイドも)を記入！レストランからの請求人数の間違いをなくす目的です</t>
    <phoneticPr fontId="3"/>
  </si>
  <si>
    <t>---</t>
    <phoneticPr fontId="3"/>
  </si>
  <si>
    <t>D:ガネーシャ今出川</t>
    <rPh sb="7" eb="10">
      <t>イマデガワ</t>
    </rPh>
    <phoneticPr fontId="6"/>
  </si>
  <si>
    <t>L:ガネーシャ今出川</t>
    <rPh sb="7" eb="10">
      <t>イマデガワ</t>
    </rPh>
    <phoneticPr fontId="6"/>
  </si>
  <si>
    <t>075-366-6122</t>
    <phoneticPr fontId="6"/>
  </si>
  <si>
    <t>075-366-6122</t>
    <phoneticPr fontId="3"/>
  </si>
  <si>
    <t>〒105-0012 東京都港区芝大門1-15-3-4F</t>
    <phoneticPr fontId="3"/>
  </si>
  <si>
    <t>〒106-0032 東京都港区六本木6-2-35浜ビル 3F</t>
    <phoneticPr fontId="3"/>
  </si>
  <si>
    <t>L:X</t>
    <phoneticPr fontId="3"/>
  </si>
  <si>
    <t>D:X</t>
    <phoneticPr fontId="3"/>
  </si>
  <si>
    <t>06-6462-3333</t>
    <phoneticPr fontId="3"/>
  </si>
  <si>
    <t>※ドライバー情報がない場合、前日までに確認してください。万一、当日気づいた場合、先にバス会社に連絡してご確認ください！</t>
    <phoneticPr fontId="3"/>
  </si>
  <si>
    <t>※全旅クーポン利用施設に関して人数変更等発生した場合、必ず連絡を入れること！現地精算施設の手数料を忘れないこと！(宮島ﾌｪﾘｰ・松大汽船等)</t>
    <rPh sb="1" eb="3">
      <t>ゼンリョ</t>
    </rPh>
    <rPh sb="7" eb="9">
      <t>リヨウ</t>
    </rPh>
    <rPh sb="9" eb="11">
      <t>シセツ</t>
    </rPh>
    <rPh sb="12" eb="13">
      <t>カン</t>
    </rPh>
    <rPh sb="15" eb="19">
      <t>ニンズウヘンコウ</t>
    </rPh>
    <rPh sb="19" eb="20">
      <t>トウ</t>
    </rPh>
    <rPh sb="20" eb="22">
      <t>ハッセイ</t>
    </rPh>
    <rPh sb="24" eb="26">
      <t>バアイ</t>
    </rPh>
    <rPh sb="27" eb="28">
      <t>カナラ</t>
    </rPh>
    <rPh sb="29" eb="31">
      <t>レンラク</t>
    </rPh>
    <rPh sb="32" eb="33">
      <t>イ</t>
    </rPh>
    <rPh sb="38" eb="40">
      <t>ゲンチ</t>
    </rPh>
    <phoneticPr fontId="3"/>
  </si>
  <si>
    <t>From:</t>
  </si>
  <si>
    <t>RE:</t>
  </si>
  <si>
    <t>Group Size:</t>
  </si>
  <si>
    <t>Tour Guide:</t>
  </si>
  <si>
    <t>Flight Details:</t>
  </si>
  <si>
    <t>ADY SHIMBASHI</t>
  </si>
  <si>
    <t>1. Please note that sightseeing may be changed or removed during booking slots after finalization. A sudden change of schedule is not allowed during the tour as per the itinerary.</t>
  </si>
  <si>
    <t>(Extra hours for coach &amp;guide will be on advance booking and subject to availability.)</t>
  </si>
  <si>
    <t>4. If the guests are late for any reason &amp; do not follow a timeline as set in the itinerary, then, we cannot guarantee to cover all sightseeing locations &amp; no fee refund.</t>
  </si>
  <si>
    <t>5. Due to BAD WEATHER, EARTHQUAKE, HEAVY RAIN, and HEAVY VEHICULAR TRAFFIC JAMS, if we miss out on visiting some of the sightseeing locations or are unable to take the ride or entry or any other paid service, in that case, there will be NO refund/ reimbursement of the money for the entrance charges or any other cost incurred during the movement of the tour for not reaching sightseeing location on time or unable to see the view of sightseeing locations.</t>
  </si>
  <si>
    <t>リーベルホテル大阪</t>
    <rPh sb="7" eb="9">
      <t>オオサカ</t>
    </rPh>
    <phoneticPr fontId="3"/>
  </si>
  <si>
    <t>DRV同宿
P:あり</t>
    <rPh sb="3" eb="5">
      <t>ドウシュク</t>
    </rPh>
    <rPh sb="4" eb="5">
      <t>シュク</t>
    </rPh>
    <phoneticPr fontId="6"/>
  </si>
  <si>
    <t>11:30-12:30</t>
  </si>
  <si>
    <t>13:30-14:30</t>
  </si>
  <si>
    <t>DEP</t>
  </si>
  <si>
    <t>0460-83-3955</t>
    <phoneticPr fontId="3"/>
  </si>
  <si>
    <t>0555-25-7033</t>
    <phoneticPr fontId="3"/>
  </si>
  <si>
    <t>L:サナム山中湖</t>
    <rPh sb="5" eb="8">
      <t>ヤマナカコ</t>
    </rPh>
    <phoneticPr fontId="6"/>
  </si>
  <si>
    <t>〒602-0033　京都府京都市上京区今出川町313　SAKURA BLD 3F</t>
    <phoneticPr fontId="3"/>
  </si>
  <si>
    <t>〒105-0004 東京都港区新橋1-15-5 ペルサ 115 5F</t>
    <phoneticPr fontId="3"/>
  </si>
  <si>
    <t>L:マユール</t>
    <phoneticPr fontId="6"/>
  </si>
  <si>
    <t>06-6267-3311</t>
    <phoneticPr fontId="3"/>
  </si>
  <si>
    <t>Mayur</t>
  </si>
  <si>
    <t>TEL:06-6267-3311</t>
  </si>
  <si>
    <r>
      <t>7:30→8:00</t>
    </r>
    <r>
      <rPr>
        <b/>
        <sz val="13"/>
        <color rgb="FF0000FF"/>
        <rFont val="ＭＳ Ｐゴシック"/>
        <family val="3"/>
        <charset val="128"/>
      </rPr>
      <t>羽田空港(T2/NH19)10:00発</t>
    </r>
    <r>
      <rPr>
        <sz val="13"/>
        <rFont val="ＭＳ Ｐ明朝"/>
        <family val="1"/>
        <charset val="128"/>
      </rPr>
      <t>→11:10着・伊丹空港12:00→12:30昼食13:30→14:00</t>
    </r>
    <r>
      <rPr>
        <b/>
        <sz val="13"/>
        <rFont val="ＭＳ Ｐゴシック"/>
        <family val="3"/>
        <charset val="128"/>
      </rPr>
      <t>大阪城</t>
    </r>
    <r>
      <rPr>
        <sz val="13"/>
        <rFont val="ＭＳ Ｐ明朝"/>
        <family val="1"/>
        <charset val="128"/>
      </rPr>
      <t>15:45→16:15</t>
    </r>
    <r>
      <rPr>
        <b/>
        <sz val="13"/>
        <rFont val="ＭＳ Ｐゴシック"/>
        <family val="3"/>
        <charset val="128"/>
      </rPr>
      <t>梅田スカイビルディング</t>
    </r>
    <r>
      <rPr>
        <sz val="13"/>
        <rFont val="ＭＳ Ｐ明朝"/>
        <family val="1"/>
        <charset val="128"/>
      </rPr>
      <t>17:00→17:30</t>
    </r>
    <r>
      <rPr>
        <b/>
        <sz val="13"/>
        <rFont val="ＭＳ Ｐゴシック"/>
        <family val="3"/>
        <charset val="128"/>
      </rPr>
      <t>心斎橋</t>
    </r>
    <r>
      <rPr>
        <sz val="13"/>
        <rFont val="ＭＳ Ｐ明朝"/>
        <family val="1"/>
        <charset val="128"/>
      </rPr>
      <t>18:45→19:00夕食20:00→20:30ホテル</t>
    </r>
    <rPh sb="9" eb="11">
      <t>ハネダ</t>
    </rPh>
    <rPh sb="11" eb="13">
      <t>クウコウ</t>
    </rPh>
    <rPh sb="35" eb="39">
      <t>イタミクウコウ</t>
    </rPh>
    <rPh sb="51" eb="53">
      <t>チュウショク</t>
    </rPh>
    <rPh sb="64" eb="67">
      <t>オオサカジョウ</t>
    </rPh>
    <phoneticPr fontId="3"/>
  </si>
  <si>
    <r>
      <t>9:00→9:30</t>
    </r>
    <r>
      <rPr>
        <b/>
        <sz val="13"/>
        <color theme="1"/>
        <rFont val="ＭＳ Ｐゴシック"/>
        <family val="3"/>
        <charset val="128"/>
      </rPr>
      <t>清水寺</t>
    </r>
    <r>
      <rPr>
        <sz val="13"/>
        <color theme="1"/>
        <rFont val="ＭＳ Ｐ明朝"/>
        <family val="1"/>
        <charset val="128"/>
      </rPr>
      <t>11:00→11:30</t>
    </r>
    <r>
      <rPr>
        <b/>
        <sz val="13"/>
        <color theme="1"/>
        <rFont val="ＭＳ Ｐゴシック"/>
        <family val="3"/>
        <charset val="128"/>
      </rPr>
      <t>伏見稲荷大社</t>
    </r>
    <r>
      <rPr>
        <sz val="13"/>
        <color theme="1"/>
        <rFont val="ＭＳ Ｐ明朝"/>
        <family val="1"/>
        <charset val="128"/>
      </rPr>
      <t>12:30→13:00昼食14:00→15:00</t>
    </r>
    <r>
      <rPr>
        <b/>
        <sz val="13"/>
        <color rgb="FF0000FF"/>
        <rFont val="ＭＳ Ｐゴシック"/>
        <family val="3"/>
        <charset val="128"/>
      </rPr>
      <t>トロッコ亀岡駅(14号)15:30発</t>
    </r>
    <r>
      <rPr>
        <sz val="13"/>
        <color theme="1"/>
        <rFont val="ＭＳ Ｐ明朝"/>
        <family val="1"/>
        <charset val="128"/>
      </rPr>
      <t>→15:50着・トロッコ</t>
    </r>
    <r>
      <rPr>
        <b/>
        <sz val="13"/>
        <color theme="1"/>
        <rFont val="ＭＳ Ｐゴシック"/>
        <family val="3"/>
        <charset val="128"/>
      </rPr>
      <t>嵐山駅～竹林</t>
    </r>
    <r>
      <rPr>
        <sz val="13"/>
        <color theme="1"/>
        <rFont val="ＭＳ Ｐ明朝"/>
        <family val="1"/>
        <charset val="128"/>
      </rPr>
      <t>17:00→</t>
    </r>
    <r>
      <rPr>
        <b/>
        <sz val="13"/>
        <color theme="1"/>
        <rFont val="ＭＳ Ｐゴシック"/>
        <family val="3"/>
        <charset val="128"/>
      </rPr>
      <t>祇園</t>
    </r>
    <r>
      <rPr>
        <sz val="13"/>
        <color theme="1"/>
        <rFont val="ＭＳ Ｐ明朝"/>
        <family val="1"/>
        <charset val="128"/>
      </rPr>
      <t>(ドライブ)～17:40</t>
    </r>
    <r>
      <rPr>
        <b/>
        <sz val="13"/>
        <color theme="1"/>
        <rFont val="ＭＳ Ｐゴシック"/>
        <family val="3"/>
        <charset val="128"/>
      </rPr>
      <t>寺町</t>
    </r>
    <r>
      <rPr>
        <sz val="13"/>
        <color theme="1"/>
        <rFont val="ＭＳ Ｐ明朝"/>
        <family val="1"/>
        <charset val="128"/>
      </rPr>
      <t>～19:00夕食20:00→20:15ホテル</t>
    </r>
    <rPh sb="9" eb="12">
      <t>キヨミズデラ</t>
    </rPh>
    <rPh sb="23" eb="27">
      <t>フシミイナリ</t>
    </rPh>
    <rPh sb="27" eb="29">
      <t>タイシャ</t>
    </rPh>
    <rPh sb="95" eb="97">
      <t>ギオン</t>
    </rPh>
    <rPh sb="109" eb="111">
      <t>テラマチ</t>
    </rPh>
    <phoneticPr fontId="3"/>
  </si>
  <si>
    <t>ザ・プリンス 京都宝ヶ池</t>
    <phoneticPr fontId="3"/>
  </si>
  <si>
    <t>075-712-1111</t>
    <phoneticPr fontId="3"/>
  </si>
  <si>
    <t>東京</t>
    <rPh sb="0" eb="2">
      <t>トウキョウ</t>
    </rPh>
    <phoneticPr fontId="3"/>
  </si>
  <si>
    <r>
      <t>9:30→10:15</t>
    </r>
    <r>
      <rPr>
        <b/>
        <sz val="13"/>
        <rFont val="ＭＳ Ｐゴシック"/>
        <family val="3"/>
        <charset val="128"/>
      </rPr>
      <t>アトア水族館、ジャイナ教寺院</t>
    </r>
    <r>
      <rPr>
        <sz val="13"/>
        <rFont val="ＭＳ Ｐ明朝"/>
        <family val="1"/>
        <charset val="128"/>
      </rPr>
      <t>12:45→13:30昼食14:30→15:30</t>
    </r>
    <r>
      <rPr>
        <b/>
        <sz val="13"/>
        <rFont val="ＭＳ Ｐゴシック"/>
        <family val="3"/>
        <charset val="128"/>
      </rPr>
      <t>東大寺・奈良公園</t>
    </r>
    <r>
      <rPr>
        <sz val="13"/>
        <rFont val="ＭＳ Ｐ明朝"/>
        <family val="1"/>
        <charset val="128"/>
      </rPr>
      <t>17:30→19:00夕食20:00→20:15ホテル</t>
    </r>
    <rPh sb="21" eb="24">
      <t>キョウジイン</t>
    </rPh>
    <rPh sb="35" eb="37">
      <t>チュウショク</t>
    </rPh>
    <phoneticPr fontId="6"/>
  </si>
  <si>
    <r>
      <t>8:45→9:00</t>
    </r>
    <r>
      <rPr>
        <b/>
        <sz val="13"/>
        <color theme="1"/>
        <rFont val="ＭＳ Ｐゴシック"/>
        <family val="3"/>
        <charset val="128"/>
      </rPr>
      <t>ユニバーサルスタジオジャパン</t>
    </r>
    <r>
      <rPr>
        <sz val="13"/>
        <color theme="1"/>
        <rFont val="ＭＳ Ｐ明朝"/>
        <family val="1"/>
        <charset val="128"/>
      </rPr>
      <t>18:30→19:00夕食20:00→20:30ホテル</t>
    </r>
    <rPh sb="34" eb="36">
      <t>ユウショク</t>
    </rPh>
    <phoneticPr fontId="3"/>
  </si>
  <si>
    <t>※ミネラルウオーター1日2本／名 (本)</t>
    <rPh sb="11" eb="12">
      <t>ニチ</t>
    </rPh>
    <rPh sb="13" eb="14">
      <t>ホン</t>
    </rPh>
    <rPh sb="15" eb="16">
      <t>メイ</t>
    </rPh>
    <rPh sb="18" eb="19">
      <t>ホン</t>
    </rPh>
    <phoneticPr fontId="3"/>
  </si>
  <si>
    <t>L:2,500円返金</t>
    <rPh sb="7" eb="8">
      <t>エン</t>
    </rPh>
    <rPh sb="8" eb="10">
      <t>ヘンキン</t>
    </rPh>
    <phoneticPr fontId="6"/>
  </si>
  <si>
    <r>
      <t>8:45→9:00</t>
    </r>
    <r>
      <rPr>
        <b/>
        <sz val="13"/>
        <color theme="1"/>
        <rFont val="ＭＳ Ｐゴシック"/>
        <family val="3"/>
        <charset val="128"/>
      </rPr>
      <t>東京ディズニーシー</t>
    </r>
    <r>
      <rPr>
        <sz val="13"/>
        <color theme="1"/>
        <rFont val="ＭＳ Ｐ明朝"/>
        <family val="1"/>
        <charset val="128"/>
      </rPr>
      <t>18:30→19:00夕食20:00→20:30ホテル</t>
    </r>
    <rPh sb="9" eb="11">
      <t>トウキョウ</t>
    </rPh>
    <rPh sb="29" eb="31">
      <t>ユウショク</t>
    </rPh>
    <phoneticPr fontId="3"/>
  </si>
  <si>
    <t>Proceed to Sky Tree</t>
  </si>
  <si>
    <t>Visit Sky Tree(350m)</t>
  </si>
  <si>
    <t>Relax at hotel. Later after desired rest</t>
  </si>
  <si>
    <t>Proceed to TeamLab Planets Tokyo (Toyosu)</t>
  </si>
  <si>
    <t>Checkout at the Hotel and Proceed to Haneda Airport</t>
  </si>
  <si>
    <t>Reach at Haneda Airport</t>
  </si>
  <si>
    <t>Haneda to Itami (NH19)</t>
  </si>
  <si>
    <t>Proceed to Osaka city</t>
  </si>
  <si>
    <t>12:30-13:30</t>
  </si>
  <si>
    <t>7:00-8:45</t>
  </si>
  <si>
    <t>9:00-18:30</t>
  </si>
  <si>
    <t>19:00-20:00</t>
  </si>
  <si>
    <t>8:00-9:30</t>
  </si>
  <si>
    <t>10:15-12:45</t>
  </si>
  <si>
    <t>Visit Todaiji Temple and Nara deer park</t>
  </si>
  <si>
    <t>Proceed to Nara</t>
  </si>
  <si>
    <t>15:30-17:30</t>
  </si>
  <si>
    <t>TEL:075-721-1111</t>
  </si>
  <si>
    <t>The Prince Kyoto Takaragaike</t>
  </si>
  <si>
    <t>KYOTO - HAKONE</t>
  </si>
  <si>
    <t>7:00-8:50</t>
  </si>
  <si>
    <t>Transfer to Kyoto sta.</t>
  </si>
  <si>
    <t>TEL:0460-83-3955</t>
  </si>
  <si>
    <t>12:40-13:35</t>
  </si>
  <si>
    <t>Hakone Ropeway round trip (Togendai st.-Owakudani st.)</t>
  </si>
  <si>
    <t>Hakone Pirate Ship ride (Dep 13:45) to Togenndai Port</t>
  </si>
  <si>
    <t>Proceed to the Hotel</t>
  </si>
  <si>
    <t xml:space="preserve">HAKONE - MT FUJI - TOKYO </t>
  </si>
  <si>
    <t>7:30-8:45</t>
  </si>
  <si>
    <t xml:space="preserve">TOKYO DISNEYSEA </t>
  </si>
  <si>
    <t>Proceed for TOKYO DISNEYSEA</t>
  </si>
  <si>
    <t>Visit  TOKYO DISNEYSEA</t>
  </si>
  <si>
    <t>Reach at the Narita Airport, Board Flight (NH829 / Dep 11:15)</t>
  </si>
  <si>
    <t>輝岩商事</t>
    <rPh sb="0" eb="4">
      <t>キガンショウジ</t>
    </rPh>
    <phoneticPr fontId="3"/>
  </si>
  <si>
    <t>輝岩／
狩野観光</t>
    <rPh sb="0" eb="2">
      <t>キガン</t>
    </rPh>
    <rPh sb="4" eb="6">
      <t>カノウ</t>
    </rPh>
    <rPh sb="6" eb="8">
      <t>カンコウ</t>
    </rPh>
    <phoneticPr fontId="3"/>
  </si>
  <si>
    <t xml:space="preserve">狩野／
総企バス
狩野観光	</t>
    <rPh sb="0" eb="2">
      <t>カノウ</t>
    </rPh>
    <rPh sb="4" eb="5">
      <t>ソウ</t>
    </rPh>
    <rPh sb="5" eb="6">
      <t>キ</t>
    </rPh>
    <rPh sb="10" eb="14">
      <t>カノウカンコウ</t>
    </rPh>
    <phoneticPr fontId="3"/>
  </si>
  <si>
    <t>狩野観光</t>
    <rPh sb="0" eb="4">
      <t>カノウカンコウ</t>
    </rPh>
    <phoneticPr fontId="3"/>
  </si>
  <si>
    <t>狩野観光／輝岩</t>
    <rPh sb="0" eb="4">
      <t>カノウカンコウ</t>
    </rPh>
    <rPh sb="5" eb="7">
      <t>キガン</t>
    </rPh>
    <phoneticPr fontId="3"/>
  </si>
  <si>
    <t>047-311-4442</t>
    <phoneticPr fontId="3"/>
  </si>
  <si>
    <t>ザロイヤルパークホテル
舞浜リゾート東京ベイ</t>
    <phoneticPr fontId="3"/>
  </si>
  <si>
    <r>
      <t>7:15→8:15</t>
    </r>
    <r>
      <rPr>
        <b/>
        <sz val="13"/>
        <color rgb="FF0000FF"/>
        <rFont val="ＭＳ Ｐゴシック"/>
        <family val="3"/>
        <charset val="128"/>
      </rPr>
      <t xml:space="preserve">成田空港・第1 </t>
    </r>
    <r>
      <rPr>
        <sz val="13"/>
        <color theme="1"/>
        <rFont val="ＭＳ Ｐゴシック"/>
        <family val="3"/>
        <charset val="128"/>
      </rPr>
      <t>(</t>
    </r>
    <r>
      <rPr>
        <sz val="13"/>
        <color theme="1"/>
        <rFont val="ＭＳ Ｐ明朝"/>
        <family val="1"/>
        <charset val="128"/>
      </rPr>
      <t>11:15発/NH829)</t>
    </r>
    <rPh sb="9" eb="11">
      <t>ナリタ</t>
    </rPh>
    <rPh sb="11" eb="13">
      <t>クウコウ</t>
    </rPh>
    <rPh sb="14" eb="15">
      <t>ダイ</t>
    </rPh>
    <rPh sb="23" eb="24">
      <t>ハツ</t>
    </rPh>
    <phoneticPr fontId="3"/>
  </si>
  <si>
    <r>
      <rPr>
        <sz val="12.5"/>
        <color theme="1"/>
        <rFont val="ＭＳ Ｐ明朝"/>
        <family val="1"/>
        <charset val="128"/>
      </rPr>
      <t xml:space="preserve">(NH830/7:25着) </t>
    </r>
    <r>
      <rPr>
        <b/>
        <sz val="12.5"/>
        <color rgb="FF0000FF"/>
        <rFont val="ＭＳ Ｐゴシック"/>
        <family val="3"/>
        <charset val="128"/>
      </rPr>
      <t xml:space="preserve">成田空港・第1 </t>
    </r>
    <r>
      <rPr>
        <sz val="12.5"/>
        <color rgb="FF000000"/>
        <rFont val="ＭＳ Ｐ明朝"/>
        <family val="1"/>
        <charset val="128"/>
      </rPr>
      <t>9:30→11:30昼食12:30→13:00</t>
    </r>
    <r>
      <rPr>
        <b/>
        <sz val="12.5"/>
        <color rgb="FF000000"/>
        <rFont val="ＭＳ Ｐゴシック"/>
        <family val="3"/>
        <charset val="128"/>
      </rPr>
      <t>スカイツリー(350m)</t>
    </r>
    <r>
      <rPr>
        <sz val="12.5"/>
        <color rgb="FF000000"/>
        <rFont val="ＭＳ Ｐ明朝"/>
        <family val="1"/>
        <charset val="128"/>
      </rPr>
      <t>14:30→(</t>
    </r>
    <r>
      <rPr>
        <b/>
        <sz val="12.5"/>
        <color rgb="FF000000"/>
        <rFont val="ＭＳ Ｐゴシック"/>
        <family val="3"/>
        <charset val="128"/>
      </rPr>
      <t>車窓観光:国会議事堂、皇居、東京駅</t>
    </r>
    <r>
      <rPr>
        <sz val="12.5"/>
        <color rgb="FF000000"/>
        <rFont val="ＭＳ Ｐ明朝"/>
        <family val="1"/>
        <charset val="128"/>
      </rPr>
      <t>)→15:30頃ホテルチェックイン17:00→17:30</t>
    </r>
    <r>
      <rPr>
        <b/>
        <sz val="12.5"/>
        <color rgb="FF000000"/>
        <rFont val="ＭＳ Ｐゴシック"/>
        <family val="3"/>
        <charset val="128"/>
      </rPr>
      <t>渋谷交差点</t>
    </r>
    <r>
      <rPr>
        <sz val="12.5"/>
        <color rgb="FF000000"/>
        <rFont val="ＭＳ Ｐ明朝"/>
        <family val="1"/>
        <charset val="128"/>
      </rPr>
      <t>18:30→19:00夕食20:00→20:30ホテル</t>
    </r>
    <rPh sb="11" eb="12">
      <t>チャク</t>
    </rPh>
    <rPh sb="14" eb="18">
      <t>ナリタクウコウ</t>
    </rPh>
    <rPh sb="19" eb="20">
      <t>ダイ</t>
    </rPh>
    <rPh sb="64" eb="68">
      <t>シャソウカンコウ</t>
    </rPh>
    <rPh sb="69" eb="74">
      <t>コッカイギジドウ</t>
    </rPh>
    <rPh sb="75" eb="77">
      <t>コウキョ</t>
    </rPh>
    <rPh sb="78" eb="81">
      <t>トウキョウエキ</t>
    </rPh>
    <rPh sb="88" eb="89">
      <t>ゴロ</t>
    </rPh>
    <phoneticPr fontId="6"/>
  </si>
  <si>
    <t>〒731-5132 広島県広島市佐伯区吉見園1-12</t>
    <phoneticPr fontId="3"/>
  </si>
  <si>
    <t>〒250-0521神奈川県足柄下郡箱根町箱根81-11-2F</t>
    <phoneticPr fontId="3"/>
  </si>
  <si>
    <t>L:パムズ・ダイン・アンド・グリル</t>
    <phoneticPr fontId="6"/>
  </si>
  <si>
    <t>〒401-0501 山梨県南都留郡山中湖村山中72</t>
    <phoneticPr fontId="3"/>
  </si>
  <si>
    <r>
      <t>8:50→9:30</t>
    </r>
    <r>
      <rPr>
        <b/>
        <sz val="12"/>
        <color rgb="FF0000FF"/>
        <rFont val="ＭＳ Ｐゴシック"/>
        <family val="3"/>
        <charset val="128"/>
      </rPr>
      <t>京都駅(ひかり702号・10:07発)</t>
    </r>
    <r>
      <rPr>
        <sz val="12"/>
        <color theme="1"/>
        <rFont val="ＭＳ Ｐ明朝"/>
        <family val="1"/>
        <charset val="128"/>
      </rPr>
      <t>→11:57着・三島駅12:05→12:40昼食13:35(徒歩)～</t>
    </r>
    <r>
      <rPr>
        <b/>
        <sz val="12"/>
        <color theme="1"/>
        <rFont val="ＭＳ Ｐゴシック"/>
        <family val="3"/>
        <charset val="128"/>
      </rPr>
      <t>箱根町港(海賊船)13:45発</t>
    </r>
    <r>
      <rPr>
        <sz val="12"/>
        <color theme="1"/>
        <rFont val="ＭＳ Ｐ明朝"/>
        <family val="1"/>
        <charset val="128"/>
      </rPr>
      <t>→14:25</t>
    </r>
    <r>
      <rPr>
        <b/>
        <sz val="12"/>
        <color theme="1"/>
        <rFont val="ＭＳ Ｐゴシック"/>
        <family val="3"/>
        <charset val="128"/>
      </rPr>
      <t>桃源台港～駅(箱根ロープウェイ)</t>
    </r>
    <r>
      <rPr>
        <sz val="12"/>
        <color theme="1"/>
        <rFont val="ＭＳ Ｐ明朝"/>
        <family val="1"/>
        <charset val="128"/>
      </rPr>
      <t>→15:10大涌谷駅15:45→17:00ホテル18:45→19:00夕食20:00→20:15ホテル</t>
    </r>
    <rPh sb="9" eb="11">
      <t>キョウト</t>
    </rPh>
    <rPh sb="11" eb="12">
      <t>エキ</t>
    </rPh>
    <rPh sb="36" eb="38">
      <t>ミシマ</t>
    </rPh>
    <rPh sb="38" eb="39">
      <t>エキ</t>
    </rPh>
    <rPh sb="50" eb="52">
      <t>チュウショク</t>
    </rPh>
    <rPh sb="58" eb="60">
      <t>トホ</t>
    </rPh>
    <rPh sb="62" eb="66">
      <t>ハコネマチコウ</t>
    </rPh>
    <rPh sb="86" eb="87">
      <t>ミナト</t>
    </rPh>
    <rPh sb="88" eb="89">
      <t>エキ</t>
    </rPh>
    <rPh sb="90" eb="92">
      <t>ハコネ</t>
    </rPh>
    <rPh sb="105" eb="109">
      <t>オオワクダニエキ</t>
    </rPh>
    <rPh sb="134" eb="136">
      <t>ユウショク</t>
    </rPh>
    <phoneticPr fontId="3"/>
  </si>
  <si>
    <r>
      <t>9:30→10:30</t>
    </r>
    <r>
      <rPr>
        <b/>
        <sz val="13"/>
        <color theme="1"/>
        <rFont val="ＭＳ Ｐゴシック"/>
        <family val="3"/>
        <charset val="128"/>
      </rPr>
      <t>富士山五合目</t>
    </r>
    <r>
      <rPr>
        <sz val="13"/>
        <color theme="1"/>
        <rFont val="ＭＳ Ｐ明朝"/>
        <family val="1"/>
        <charset val="128"/>
      </rPr>
      <t>11:15→12:30昼食13:30→14:00</t>
    </r>
    <r>
      <rPr>
        <b/>
        <sz val="13"/>
        <color theme="1"/>
        <rFont val="ＭＳ Ｐゴシック"/>
        <family val="3"/>
        <charset val="128"/>
      </rPr>
      <t>御殿場プレミアムアウトレット</t>
    </r>
    <r>
      <rPr>
        <sz val="13"/>
        <color theme="1"/>
        <rFont val="ＭＳ Ｐ明朝"/>
        <family val="1"/>
        <charset val="128"/>
      </rPr>
      <t>16:15→19:00夕食20:00→20:30ホテル</t>
    </r>
    <rPh sb="10" eb="16">
      <t>フジサンゴゴウメ</t>
    </rPh>
    <rPh sb="27" eb="29">
      <t>チュウショク</t>
    </rPh>
    <rPh sb="65" eb="67">
      <t>ユウショク</t>
    </rPh>
    <phoneticPr fontId="6"/>
  </si>
  <si>
    <t>デリバリ</t>
    <phoneticPr fontId="3"/>
  </si>
  <si>
    <t>B:お弁当(ゴヴィンダス)</t>
    <rPh sb="3" eb="5">
      <t>ベントウ</t>
    </rPh>
    <phoneticPr fontId="6"/>
  </si>
  <si>
    <t>090-4539-1313</t>
    <phoneticPr fontId="3"/>
  </si>
  <si>
    <t>輝岩商事090-9805-3792/04-7197-6628</t>
    <phoneticPr fontId="3"/>
  </si>
  <si>
    <t>狩野観光06-6686-2888/090-5057-0193(後藤)</t>
    <rPh sb="0" eb="2">
      <t>カノウ</t>
    </rPh>
    <rPh sb="2" eb="4">
      <t>カンコウ</t>
    </rPh>
    <rPh sb="31" eb="33">
      <t>ゴトウ</t>
    </rPh>
    <phoneticPr fontId="3"/>
  </si>
  <si>
    <t>総企バス080-1905-3639/082-846-5655</t>
    <rPh sb="0" eb="1">
      <t>ソウ</t>
    </rPh>
    <rPh sb="1" eb="2">
      <t>キ</t>
    </rPh>
    <phoneticPr fontId="3"/>
  </si>
  <si>
    <t>大磯プリンスホテル</t>
    <rPh sb="0" eb="2">
      <t>オオイソ</t>
    </rPh>
    <phoneticPr fontId="3"/>
  </si>
  <si>
    <t>大磯</t>
    <rPh sb="0" eb="2">
      <t>オオイソ</t>
    </rPh>
    <phoneticPr fontId="3"/>
  </si>
  <si>
    <t>0463-61-1111</t>
    <phoneticPr fontId="3"/>
  </si>
  <si>
    <t>D:マユール</t>
    <phoneticPr fontId="6"/>
  </si>
  <si>
    <t>L:ボンベイダイニング五日市</t>
    <phoneticPr fontId="6"/>
  </si>
  <si>
    <t>L:2,500円返金</t>
    <phoneticPr fontId="6"/>
  </si>
  <si>
    <t>L:マユール</t>
    <phoneticPr fontId="3"/>
  </si>
  <si>
    <t>D:バルティヤ・ザイカ平塚店</t>
    <phoneticPr fontId="6"/>
  </si>
  <si>
    <t>0463-20-8181</t>
    <phoneticPr fontId="3"/>
  </si>
  <si>
    <t>〒254-0043 神奈川県平塚市紅谷町9-15　セントアイ1F</t>
    <phoneticPr fontId="3"/>
  </si>
  <si>
    <t>D:アーンドラ大門</t>
    <rPh sb="7" eb="9">
      <t>ダイモン</t>
    </rPh>
    <phoneticPr fontId="6"/>
  </si>
  <si>
    <t>03-6770-9006</t>
    <phoneticPr fontId="3"/>
  </si>
  <si>
    <t>〒134-0088 東京都江戸川区西葛西５丁目３−６ 2F</t>
    <phoneticPr fontId="3"/>
  </si>
  <si>
    <t>※ドライバーお茶代1日3,000円、送迎のみ1,500円(要領収書)</t>
    <rPh sb="29" eb="33">
      <t>ヨウリョウシュウショ</t>
    </rPh>
    <phoneticPr fontId="3"/>
  </si>
  <si>
    <t>食事代：朝食800円(ホテルで朝食取れない場合)、昼食1,000円、夕食1,500円(要領収書)</t>
    <rPh sb="43" eb="47">
      <t>ヨウリョウシュウショ</t>
    </rPh>
    <phoneticPr fontId="3"/>
  </si>
  <si>
    <t>D:モリンガ西葛西</t>
    <rPh sb="6" eb="9">
      <t>ニシカサイ</t>
    </rPh>
    <phoneticPr fontId="6"/>
  </si>
  <si>
    <t>B:お弁当(マユール)</t>
    <phoneticPr fontId="6"/>
  </si>
  <si>
    <t>〒541-005大阪府大阪市中央区本町2-3-4 アソルティ本町B1</t>
    <phoneticPr fontId="3"/>
  </si>
  <si>
    <t>KIC0852_KK</t>
    <phoneticPr fontId="6"/>
  </si>
  <si>
    <t>浅草ビューホテル</t>
    <rPh sb="0" eb="2">
      <t>アサクサ</t>
    </rPh>
    <phoneticPr fontId="6"/>
  </si>
  <si>
    <t>0570-003-235</t>
    <phoneticPr fontId="6"/>
  </si>
  <si>
    <t>6/15 NRT(T1) NH830 7:25</t>
    <phoneticPr fontId="6"/>
  </si>
  <si>
    <t xml:space="preserve">6/25 NRT(T1) NH829 11:15 </t>
    <phoneticPr fontId="6"/>
  </si>
  <si>
    <r>
      <t>新幹線：</t>
    </r>
    <r>
      <rPr>
        <sz val="9"/>
        <color rgb="FFFF0000"/>
        <rFont val="ＭＳ Ｐゴシック"/>
        <family val="3"/>
        <charset val="128"/>
      </rPr>
      <t>OK</t>
    </r>
    <r>
      <rPr>
        <sz val="9"/>
        <rFont val="ＭＳ Ｐゴシック"/>
        <family val="3"/>
        <charset val="128"/>
      </rPr>
      <t xml:space="preserve">
箱根海賊船</t>
    </r>
    <r>
      <rPr>
        <b/>
        <sz val="9"/>
        <color rgb="FFFF0000"/>
        <rFont val="ＭＳ Ｐゴシック"/>
        <family val="3"/>
        <charset val="128"/>
      </rPr>
      <t>OK</t>
    </r>
    <r>
      <rPr>
        <sz val="9"/>
        <rFont val="ＭＳ Ｐゴシック"/>
        <family val="3"/>
        <charset val="128"/>
      </rPr>
      <t xml:space="preserve">
箱根ロープウェイ</t>
    </r>
    <r>
      <rPr>
        <b/>
        <sz val="9"/>
        <color rgb="FFFF0000"/>
        <rFont val="ＭＳ Ｐゴシック"/>
        <family val="3"/>
        <charset val="128"/>
      </rPr>
      <t>OK</t>
    </r>
  </si>
  <si>
    <r>
      <t xml:space="preserve">アトア水族館： </t>
    </r>
    <r>
      <rPr>
        <sz val="9"/>
        <color rgb="FFFF0000"/>
        <rFont val="ＭＳ Ｐゴシック"/>
        <family val="3"/>
        <charset val="128"/>
      </rPr>
      <t>OK</t>
    </r>
    <r>
      <rPr>
        <sz val="9"/>
        <rFont val="ＭＳ Ｐゴシック"/>
        <family val="3"/>
        <charset val="128"/>
      </rPr>
      <t xml:space="preserve">
奈良公園バス駐車場：</t>
    </r>
    <r>
      <rPr>
        <sz val="9"/>
        <color rgb="FFFF0000"/>
        <rFont val="ＭＳ Ｐゴシック"/>
        <family val="3"/>
        <charset val="128"/>
      </rPr>
      <t>OK</t>
    </r>
    <r>
      <rPr>
        <b/>
        <sz val="9"/>
        <rFont val="ＭＳ Ｐゴシック"/>
        <family val="3"/>
        <charset val="128"/>
      </rPr>
      <t xml:space="preserve">
</t>
    </r>
  </si>
  <si>
    <t>DRV同宿
P:あり</t>
  </si>
  <si>
    <t>ケユール (Keyur)</t>
  </si>
  <si>
    <t>070-9452-7264</t>
  </si>
  <si>
    <r>
      <t>新幹線</t>
    </r>
    <r>
      <rPr>
        <b/>
        <sz val="9"/>
        <rFont val="ＭＳ Ｐゴシック"/>
        <family val="3"/>
        <charset val="128"/>
      </rPr>
      <t>往路１号で</t>
    </r>
    <r>
      <rPr>
        <b/>
        <sz val="9"/>
        <color rgb="FFFF0000"/>
        <rFont val="ＭＳ Ｐゴシック"/>
        <family val="3"/>
        <charset val="128"/>
      </rPr>
      <t>OK</t>
    </r>
    <r>
      <rPr>
        <sz val="9"/>
        <rFont val="ＭＳ Ｐゴシック"/>
        <family val="3"/>
        <charset val="128"/>
      </rPr>
      <t>、帰路50号</t>
    </r>
    <r>
      <rPr>
        <b/>
        <sz val="9"/>
        <color rgb="FFFF0000"/>
        <rFont val="ＭＳ Ｐゴシック"/>
        <family val="3"/>
        <charset val="128"/>
      </rPr>
      <t>OK</t>
    </r>
    <r>
      <rPr>
        <sz val="9"/>
        <rFont val="ＭＳ Ｐゴシック"/>
        <family val="3"/>
        <charset val="128"/>
      </rPr>
      <t xml:space="preserve">
資料館：</t>
    </r>
    <r>
      <rPr>
        <sz val="9"/>
        <color rgb="FFFF0000"/>
        <rFont val="ＭＳ Ｐゴシック"/>
        <family val="3"/>
        <charset val="128"/>
      </rPr>
      <t>OK</t>
    </r>
  </si>
  <si>
    <t>輝岩商事バス11:30～</t>
    <rPh sb="0" eb="4">
      <t>キガンショウジ</t>
    </rPh>
    <phoneticPr fontId="3"/>
  </si>
  <si>
    <r>
      <t>9:00(徒歩)～9:15</t>
    </r>
    <r>
      <rPr>
        <b/>
        <sz val="12"/>
        <color theme="1"/>
        <rFont val="ＭＳ Ｐゴシック"/>
        <family val="3"/>
        <charset val="128"/>
      </rPr>
      <t>浅草寺・仲見世通り</t>
    </r>
    <r>
      <rPr>
        <sz val="12"/>
        <color theme="1"/>
        <rFont val="ＭＳ Ｐ明朝"/>
        <family val="1"/>
        <charset val="128"/>
      </rPr>
      <t>(徒歩)ホテル11:30→12:00昼食+銀座15:00→15:30</t>
    </r>
    <r>
      <rPr>
        <b/>
        <sz val="12"/>
        <color theme="1"/>
        <rFont val="ＭＳ Ｐゴシック"/>
        <family val="3"/>
        <charset val="128"/>
      </rPr>
      <t>浅草港(隅田川クルーズ15:55発)</t>
    </r>
    <r>
      <rPr>
        <sz val="12"/>
        <color theme="1"/>
        <rFont val="ＭＳ Ｐ明朝"/>
        <family val="1"/>
        <charset val="128"/>
      </rPr>
      <t>→16:55</t>
    </r>
    <r>
      <rPr>
        <b/>
        <sz val="12"/>
        <color theme="1"/>
        <rFont val="ＭＳ Ｐゴシック"/>
        <family val="3"/>
        <charset val="128"/>
      </rPr>
      <t>お台場(自由の女神像&amp;ﾚｲﾝﾎﾞｰﾌﾞﾘｯｼﾞ)</t>
    </r>
    <r>
      <rPr>
        <sz val="12"/>
        <color theme="1"/>
        <rFont val="ＭＳ Ｐ明朝"/>
        <family val="1"/>
        <charset val="128"/>
      </rPr>
      <t>17:10→17:20</t>
    </r>
    <r>
      <rPr>
        <b/>
        <sz val="12"/>
        <color theme="1"/>
        <rFont val="ＭＳ Ｐゴシック"/>
        <family val="3"/>
        <charset val="128"/>
      </rPr>
      <t>チームラボ豊洲</t>
    </r>
    <r>
      <rPr>
        <sz val="12"/>
        <color theme="1"/>
        <rFont val="ＭＳ Ｐ明朝"/>
        <family val="1"/>
        <charset val="128"/>
      </rPr>
      <t>19:00→19:30夕食20:15→20:45ホテル</t>
    </r>
    <rPh sb="58" eb="59">
      <t>ミナト</t>
    </rPh>
    <phoneticPr fontId="3"/>
  </si>
  <si>
    <r>
      <t>浅草バス駐車場不要、
隅田川クルーズ：</t>
    </r>
    <r>
      <rPr>
        <b/>
        <sz val="9"/>
        <color rgb="FFFF0000"/>
        <rFont val="ＭＳ Ｐゴシック"/>
        <family val="3"/>
        <charset val="128"/>
      </rPr>
      <t>OK</t>
    </r>
    <r>
      <rPr>
        <sz val="9"/>
        <rFont val="ＭＳ Ｐゴシック"/>
        <family val="3"/>
        <charset val="128"/>
      </rPr>
      <t>、
チームラボ豊洲：</t>
    </r>
    <r>
      <rPr>
        <sz val="9"/>
        <color rgb="FFFF0000"/>
        <rFont val="ＭＳ Ｐゴシック"/>
        <family val="3"/>
        <charset val="128"/>
      </rPr>
      <t>OK</t>
    </r>
    <phoneticPr fontId="3"/>
  </si>
  <si>
    <r>
      <rPr>
        <sz val="16"/>
        <color theme="1"/>
        <rFont val="Times New Roman"/>
        <family val="1"/>
      </rPr>
      <t>18</t>
    </r>
    <r>
      <rPr>
        <sz val="16"/>
        <color theme="1"/>
        <rFont val="ＭＳ Ｐ明朝"/>
        <family val="1"/>
        <charset val="128"/>
      </rPr>
      <t>名+</t>
    </r>
    <r>
      <rPr>
        <sz val="16"/>
        <color theme="1"/>
        <rFont val="Times New Roman"/>
        <family val="1"/>
      </rPr>
      <t>3</t>
    </r>
    <r>
      <rPr>
        <sz val="14"/>
        <color theme="1"/>
        <rFont val="ＭＳ Ｐ明朝"/>
        <family val="1"/>
        <charset val="128"/>
      </rPr>
      <t xml:space="preserve">
</t>
    </r>
    <r>
      <rPr>
        <sz val="10"/>
        <color theme="1"/>
        <rFont val="ＭＳ Ｐ明朝"/>
        <family val="1"/>
        <charset val="128"/>
      </rPr>
      <t>内:小0名
他、13*1, 17*1あり</t>
    </r>
    <phoneticPr fontId="3"/>
  </si>
  <si>
    <r>
      <t>ｽｶｲﾂﾘｰ350m(全旅)&amp;P ：</t>
    </r>
    <r>
      <rPr>
        <b/>
        <sz val="10"/>
        <color rgb="FFFF0000"/>
        <rFont val="ＭＳ Ｐゴシック"/>
        <family val="3"/>
        <charset val="128"/>
      </rPr>
      <t>OK</t>
    </r>
    <phoneticPr fontId="3"/>
  </si>
  <si>
    <r>
      <t>ＵＳＪ：</t>
    </r>
    <r>
      <rPr>
        <sz val="9"/>
        <color rgb="FFFF0000"/>
        <rFont val="ＭＳ Ｐゴシック"/>
        <family val="3"/>
        <charset val="128"/>
      </rPr>
      <t>OK</t>
    </r>
    <phoneticPr fontId="3"/>
  </si>
  <si>
    <r>
      <t>清水坂バス駐車場：</t>
    </r>
    <r>
      <rPr>
        <sz val="9"/>
        <color rgb="FFFF0000"/>
        <rFont val="ＭＳ Ｐゴシック"/>
        <family val="3"/>
        <charset val="128"/>
      </rPr>
      <t>OK</t>
    </r>
    <r>
      <rPr>
        <sz val="9"/>
        <rFont val="ＭＳ Ｐゴシック"/>
        <family val="3"/>
        <charset val="128"/>
      </rPr>
      <t xml:space="preserve">
嵯峨野トロッコ：</t>
    </r>
    <r>
      <rPr>
        <sz val="9"/>
        <color rgb="FFFF0000"/>
        <rFont val="ＭＳ Ｐゴシック"/>
        <family val="3"/>
        <charset val="128"/>
      </rPr>
      <t>OK</t>
    </r>
    <r>
      <rPr>
        <sz val="9"/>
        <rFont val="ＭＳ Ｐゴシック"/>
        <family val="3"/>
        <charset val="128"/>
      </rPr>
      <t xml:space="preserve">
レストラン嵐山バス駐車場：</t>
    </r>
    <r>
      <rPr>
        <sz val="9"/>
        <color rgb="FFFF0000"/>
        <rFont val="ＭＳ Ｐゴシック"/>
        <family val="3"/>
        <charset val="128"/>
      </rPr>
      <t>OK</t>
    </r>
    <r>
      <rPr>
        <sz val="9"/>
        <rFont val="ＭＳ Ｐゴシック"/>
        <family val="3"/>
        <charset val="128"/>
      </rPr>
      <t xml:space="preserve">
	</t>
    </r>
    <phoneticPr fontId="3"/>
  </si>
  <si>
    <r>
      <t xml:space="preserve">4/7荷物配送会社
アリ080-7225-7514
</t>
    </r>
    <r>
      <rPr>
        <sz val="9"/>
        <color theme="0"/>
        <rFont val="ＭＳ Ｐゴシック"/>
        <family val="3"/>
        <charset val="128"/>
      </rPr>
      <t>(サムライトレーディング)</t>
    </r>
    <rPh sb="3" eb="5">
      <t>ニモツ</t>
    </rPh>
    <rPh sb="5" eb="7">
      <t>ハイソウ</t>
    </rPh>
    <rPh sb="7" eb="9">
      <t>ガイシャ</t>
    </rPh>
    <phoneticPr fontId="3"/>
  </si>
  <si>
    <r>
      <t>7:00→8:00</t>
    </r>
    <r>
      <rPr>
        <b/>
        <sz val="12"/>
        <color rgb="FF0000FF"/>
        <rFont val="ＭＳ Ｐゴシック"/>
        <family val="3"/>
        <charset val="128"/>
      </rPr>
      <t>新大阪駅(のぞみ1号)8:24発</t>
    </r>
    <r>
      <rPr>
        <sz val="12"/>
        <rFont val="ＭＳ Ｐ明朝"/>
        <family val="1"/>
        <charset val="128"/>
      </rPr>
      <t>→9:49着・広島駅10:00→宮島口～11:00</t>
    </r>
    <r>
      <rPr>
        <b/>
        <sz val="12"/>
        <rFont val="ＭＳ Ｐゴシック"/>
        <family val="3"/>
        <charset val="128"/>
      </rPr>
      <t>宮島・厳島神社</t>
    </r>
    <r>
      <rPr>
        <sz val="12"/>
        <rFont val="ＭＳ Ｐ明朝"/>
        <family val="1"/>
        <charset val="128"/>
      </rPr>
      <t>～宮島口13:00→14:00昼食14:45→15:15</t>
    </r>
    <r>
      <rPr>
        <b/>
        <sz val="12"/>
        <rFont val="ＭＳ Ｐゴシック"/>
        <family val="3"/>
        <charset val="128"/>
      </rPr>
      <t>平和記念公園、資料館、貞子記念碑、原爆ﾄﾞｰﾑ</t>
    </r>
    <r>
      <rPr>
        <sz val="12"/>
        <rFont val="ＭＳ Ｐ明朝"/>
        <family val="1"/>
        <charset val="128"/>
      </rPr>
      <t>16:45→17:10</t>
    </r>
    <r>
      <rPr>
        <b/>
        <sz val="12"/>
        <color rgb="FF0000FF"/>
        <rFont val="ＭＳ Ｐゴシック"/>
        <family val="3"/>
        <charset val="128"/>
      </rPr>
      <t>広島駅(のぞみ50号)17:43→</t>
    </r>
    <r>
      <rPr>
        <sz val="12"/>
        <rFont val="ＭＳ Ｐ明朝"/>
        <family val="1"/>
        <charset val="128"/>
      </rPr>
      <t>19:04着・新大阪駅19:15→19:30夕食20:30→21:00ホテル</t>
    </r>
    <rPh sb="9" eb="12">
      <t>シンオオサカ</t>
    </rPh>
    <rPh sb="12" eb="13">
      <t>エキ</t>
    </rPh>
    <rPh sb="24" eb="25">
      <t>ハツ</t>
    </rPh>
    <rPh sb="30" eb="31">
      <t>チャク</t>
    </rPh>
    <rPh sb="149" eb="152">
      <t>シンオオサカ</t>
    </rPh>
    <phoneticPr fontId="3"/>
  </si>
  <si>
    <t>※輝岩商事：ミネラルウオーター84本(6/15,16分)、また、84本(6/22,23)積込みお願いします。ロイヤル舞浜に在庫あります(6/24分)</t>
    <rPh sb="1" eb="2">
      <t>キ</t>
    </rPh>
    <rPh sb="2" eb="3">
      <t>ガン</t>
    </rPh>
    <rPh sb="3" eb="5">
      <t>ショウジ</t>
    </rPh>
    <rPh sb="34" eb="35">
      <t>ホン</t>
    </rPh>
    <rPh sb="72" eb="73">
      <t>ブン</t>
    </rPh>
    <phoneticPr fontId="3"/>
  </si>
  <si>
    <r>
      <t>※狩野観光：ミネラルウオーター42本積込みお願いします。リーベル大阪192本、配送します。</t>
    </r>
    <r>
      <rPr>
        <b/>
        <sz val="10"/>
        <color theme="1"/>
        <rFont val="ＭＳ Ｐゴシック"/>
        <family val="3"/>
        <charset val="128"/>
      </rPr>
      <t>確認してください。広島分も大阪で配布してください。</t>
    </r>
    <rPh sb="1" eb="5">
      <t>カノウカンコウ</t>
    </rPh>
    <rPh sb="17" eb="18">
      <t>ホン</t>
    </rPh>
    <rPh sb="18" eb="20">
      <t>ツミコ</t>
    </rPh>
    <rPh sb="22" eb="23">
      <t>ネガ</t>
    </rPh>
    <rPh sb="32" eb="34">
      <t>オオサカ</t>
    </rPh>
    <rPh sb="37" eb="38">
      <t>ホン</t>
    </rPh>
    <rPh sb="39" eb="41">
      <t>ハイソウ</t>
    </rPh>
    <rPh sb="45" eb="47">
      <t>カクニン</t>
    </rPh>
    <rPh sb="54" eb="56">
      <t>ヒロシマ</t>
    </rPh>
    <rPh sb="56" eb="57">
      <t>ブン</t>
    </rPh>
    <rPh sb="58" eb="60">
      <t>オオサカ</t>
    </rPh>
    <rPh sb="61" eb="63">
      <t>ハイフ</t>
    </rPh>
    <phoneticPr fontId="3"/>
  </si>
  <si>
    <t>Attn:</t>
  </si>
  <si>
    <t>Rushil / Kulin Kumar Holidays</t>
  </si>
  <si>
    <t>Jun Ryusekido / KIC Travel</t>
  </si>
  <si>
    <t>JAPAN TOUR</t>
  </si>
  <si>
    <t>KIC CODE:</t>
  </si>
  <si>
    <t>KIC0852_KK</t>
  </si>
  <si>
    <t>English Speaking</t>
  </si>
  <si>
    <t>Keyur</t>
  </si>
  <si>
    <t xml:space="preserve">MOB. NO. </t>
  </si>
  <si>
    <t>+81 -70-9452-7264</t>
  </si>
  <si>
    <t>ARR</t>
  </si>
  <si>
    <t>NH830</t>
  </si>
  <si>
    <t>NRT(T1)</t>
  </si>
  <si>
    <t>(Terminal 1 South Wing)</t>
  </si>
  <si>
    <t>NH829</t>
  </si>
  <si>
    <t xml:space="preserve">Bus Coach Size: </t>
  </si>
  <si>
    <t>More Than 45 SEATERS</t>
  </si>
  <si>
    <t>FINAL  ITINERARY</t>
  </si>
  <si>
    <t>ARRIVAL - NARITA - TOKYO</t>
  </si>
  <si>
    <t>ARRIVE AT NARITA INTERNATIONAL AIRPORT (Terminal 1 South Wing)</t>
  </si>
  <si>
    <t>B:X</t>
  </si>
  <si>
    <t>Proceed to TOKYO</t>
  </si>
  <si>
    <t>Upon arrival we enjoy lunch at an Indian Restaurant</t>
  </si>
  <si>
    <t>L:O</t>
  </si>
  <si>
    <t>Andhra Dining Daimon</t>
  </si>
  <si>
    <t>TEL:03-6809-2158</t>
  </si>
  <si>
    <t>13:00-14:30</t>
  </si>
  <si>
    <t xml:space="preserve">Continue to our hotel for Check in (Hotel Check in time is 1600 Hrs.) </t>
  </si>
  <si>
    <t>where on the way we pass through famous sights</t>
  </si>
  <si>
    <t>National Diet Buliding, Imperial Palace, Tokyo Station</t>
  </si>
  <si>
    <t>Proceed for Tokyo Evening Orientation Tour, stop at Shibuya scramble crossing</t>
  </si>
  <si>
    <t>Dinner at Indian Restaurant</t>
  </si>
  <si>
    <t>D:O</t>
  </si>
  <si>
    <t>Moti Roppongi</t>
  </si>
  <si>
    <t>TEL:03-3479-1939</t>
  </si>
  <si>
    <t>Reach at the Hotel</t>
  </si>
  <si>
    <t xml:space="preserve">O/N at hotel in Tokyo </t>
  </si>
  <si>
    <t>ASAKUSA VIEW HOTEL</t>
  </si>
  <si>
    <t>TEL:0570-003-235</t>
  </si>
  <si>
    <t xml:space="preserve">TOKYO - TOKYO CITY TOUR  </t>
  </si>
  <si>
    <t>7:00-9:00</t>
  </si>
  <si>
    <t>Breakfast at hotel</t>
  </si>
  <si>
    <t>B:O</t>
  </si>
  <si>
    <t xml:space="preserve">Proceed to Sensoji Temple </t>
  </si>
  <si>
    <t>9:30-10:45</t>
  </si>
  <si>
    <t>Visit  Sensoji Temple and Nakamise Street by walk</t>
  </si>
  <si>
    <t>Bus departs hotel</t>
  </si>
  <si>
    <t>12:00-13:00</t>
  </si>
  <si>
    <t>Lunch at Indian Restaurant</t>
  </si>
  <si>
    <t>TEL:03-6457-9833</t>
  </si>
  <si>
    <t>13:00-15:00</t>
  </si>
  <si>
    <t>Ginza Shopping</t>
  </si>
  <si>
    <t>Proceed to Asakusa Port</t>
  </si>
  <si>
    <t>15:55</t>
  </si>
  <si>
    <t>Sumida River Cruise (Dep. 15:55) to Odaiba</t>
  </si>
  <si>
    <t>16:55</t>
  </si>
  <si>
    <t>17:20-19:00</t>
  </si>
  <si>
    <t>Visit TeamLab Planets Tokyo (Toyosu)</t>
  </si>
  <si>
    <t>Proceed to Restaurant</t>
  </si>
  <si>
    <t>19:30-20:15</t>
  </si>
  <si>
    <t>Proceed to Hotel</t>
  </si>
  <si>
    <t>O/N at hotel in Tokyo</t>
  </si>
  <si>
    <t>TOKYO - HANEDA - ITAMI - OSAKA</t>
  </si>
  <si>
    <t>10:00-11:10</t>
  </si>
  <si>
    <t>Proceed to Osaka Castle</t>
  </si>
  <si>
    <t>14:00-15:45</t>
  </si>
  <si>
    <t>Visit Osaka Castle</t>
  </si>
  <si>
    <t>Proceed to Umeda Sky Building</t>
  </si>
  <si>
    <t>16:15-17:00</t>
  </si>
  <si>
    <t xml:space="preserve">Visit Umeda Sky Building </t>
  </si>
  <si>
    <t>Proceed to Shinsaibashi</t>
  </si>
  <si>
    <t>17:30-18:45</t>
  </si>
  <si>
    <t xml:space="preserve">Enjoy Shinsaibashi </t>
  </si>
  <si>
    <t>O/N at hotel in Osaka</t>
  </si>
  <si>
    <t>LIBER HOTEL OSAKA</t>
  </si>
  <si>
    <t>TEL:06-6462-3333</t>
  </si>
  <si>
    <t>OSAKA - OSAKA CITY TOURS</t>
  </si>
  <si>
    <t>Proceed to  Universal Studio Japan</t>
  </si>
  <si>
    <t>Proceed to Dinner</t>
  </si>
  <si>
    <t>OSAKA - HIROSHIMA - OSAKA</t>
  </si>
  <si>
    <t>Transfer to Shin-Osaka sta.</t>
  </si>
  <si>
    <t>Arrive at Shin-Osaka sta. (Dep8:24 NOZOMI #1) to Hiroshima</t>
  </si>
  <si>
    <t xml:space="preserve">Arrive at Hiroshima station </t>
  </si>
  <si>
    <t>Depart for Miyajima-guchi</t>
  </si>
  <si>
    <t xml:space="preserve">11:00-12:45 </t>
  </si>
  <si>
    <t xml:space="preserve">Miyajima-Itsukushima Shrine </t>
  </si>
  <si>
    <t>Back to Miyajima-guchi to Restaurant</t>
  </si>
  <si>
    <t>14:00-14:45</t>
  </si>
  <si>
    <t>Bombay Dining Itsukaichi</t>
  </si>
  <si>
    <t>TEL:082-924-1166</t>
  </si>
  <si>
    <t>15:15-16:45</t>
  </si>
  <si>
    <t>Hiroshima Peace museum/park, Atomic Bomb Dome/Sadako Monument</t>
  </si>
  <si>
    <t>Hiroshima sta.(Dep17:43, NOZOMI #50) to Shin-Osaka (Arr19:04)</t>
  </si>
  <si>
    <t>19:30-20:30</t>
  </si>
  <si>
    <t>OSAKA - KOBE - NARA - KYOTO</t>
  </si>
  <si>
    <t>Proceed to Kobe</t>
  </si>
  <si>
    <t>Visit Aquarium Atoa &amp; Jain Temple (if time permits)</t>
  </si>
  <si>
    <t>Proceed to Lunch</t>
  </si>
  <si>
    <t xml:space="preserve">Lunch at Indian Restaurant </t>
  </si>
  <si>
    <t>Dinner at Restaurant</t>
  </si>
  <si>
    <t>Kyoto Ganesha Imadegawa</t>
  </si>
  <si>
    <t>TEL:075-366-6122</t>
  </si>
  <si>
    <t>Reach at the hotel</t>
  </si>
  <si>
    <t>O/N at hotel in Kyoto</t>
  </si>
  <si>
    <t>KYOTO - KYOTO CITY TOUR</t>
  </si>
  <si>
    <t>Depart for sightseeing in Kyoto</t>
  </si>
  <si>
    <t>9:30-11:00</t>
  </si>
  <si>
    <t xml:space="preserve">Visit Kiyomizu Temple </t>
  </si>
  <si>
    <t>Visit Fushimi Inari Shrine</t>
  </si>
  <si>
    <t>13:00-14:00</t>
  </si>
  <si>
    <t>Proceed to Torokko Kameoka station</t>
  </si>
  <si>
    <t>Arrive at Torokko Kameoka st. and Enjoy Sagano Romantic Train #14</t>
  </si>
  <si>
    <t>Kameoka st.(Dep 15:30) to Arashiyama st.(15:50)</t>
  </si>
  <si>
    <t>15:50-17:00</t>
  </si>
  <si>
    <t>Visit Arashiyama Bamboo Grove</t>
  </si>
  <si>
    <t>Drive through Gion Street</t>
  </si>
  <si>
    <t>17:40-18:40</t>
  </si>
  <si>
    <t>Visit Teramachi Street</t>
  </si>
  <si>
    <t>kyoto sta.(Dep10:07, HIKARI #702) to Mishima (Arr11:57)</t>
  </si>
  <si>
    <t>Proceed for Hakone</t>
  </si>
  <si>
    <t>Lunch at Restaurant</t>
  </si>
  <si>
    <t>Pammi Dine &amp; Grill</t>
  </si>
  <si>
    <t>13:35-15:45</t>
  </si>
  <si>
    <t>17:00-18:45</t>
  </si>
  <si>
    <t xml:space="preserve">Reach at the hotel and Check in </t>
  </si>
  <si>
    <t>Proceed to the Restaurant</t>
  </si>
  <si>
    <t>Bhartiya Zaayka</t>
  </si>
  <si>
    <t>TEL:0463-20-8181</t>
  </si>
  <si>
    <t>O/N at hotel in Hakone</t>
  </si>
  <si>
    <t>Oiso Prince hotel</t>
  </si>
  <si>
    <t>TEL:0463-61-1111</t>
  </si>
  <si>
    <t>7:00-9:30</t>
  </si>
  <si>
    <t>After breakfast, checkout from the hotel &amp; proceed to Mt. Fuji 5th Station</t>
  </si>
  <si>
    <t>10:30-11:15</t>
  </si>
  <si>
    <t>Visit Mt. Fuji 5th station (Weather Permitted)</t>
  </si>
  <si>
    <t>Sanam Lake Yamanaka</t>
  </si>
  <si>
    <t>TEL:0555-25-7033</t>
  </si>
  <si>
    <t>Proceed to Gotemba Premium Outlets</t>
  </si>
  <si>
    <t>14:00-16:15</t>
  </si>
  <si>
    <t>Visit Gotemba Premium Outlets</t>
  </si>
  <si>
    <t>Proceed to Tokyo</t>
  </si>
  <si>
    <t xml:space="preserve">Dinner at Indian Restaurant                      </t>
  </si>
  <si>
    <t>The Royal Park Hotel Maihama Resort Tokyo Bay</t>
  </si>
  <si>
    <t>TEL:047-311-4442</t>
  </si>
  <si>
    <t>Moringa Nishi-Kasai</t>
  </si>
  <si>
    <t>TEL:03-6770-9006</t>
  </si>
  <si>
    <t xml:space="preserve">DEPARTURE - NARITA </t>
  </si>
  <si>
    <t>6:30-7:15</t>
  </si>
  <si>
    <t>Check out from Hotel and Transfer to Narita International Airport</t>
  </si>
  <si>
    <t>L:X</t>
  </si>
  <si>
    <t>D:X</t>
  </si>
  <si>
    <t>NOTE:</t>
  </si>
  <si>
    <t>*02 Bottle Mineral Water per day</t>
  </si>
  <si>
    <t>*Bullet train ticket in Normal class (Shin Osaka - Hiroshima - Shin Osaka)</t>
  </si>
  <si>
    <t>2. Maximum work time allotted for the Vehicle in Japan is 10 hours(between 8:00-20:00) from the Vehicle office parking to back to the same Vehicle office parking.</t>
  </si>
  <si>
    <t>3. Sudden change of schedule will lead to MISSING or CANCELLATION of some of the sightseeing locations during the tour as per the itinerary.</t>
  </si>
  <si>
    <r>
      <t>ガイド国内線：</t>
    </r>
    <r>
      <rPr>
        <b/>
        <sz val="9"/>
        <color rgb="FFFF0000"/>
        <rFont val="ＭＳ Ｐゴシック"/>
        <family val="3"/>
        <charset val="128"/>
      </rPr>
      <t>OK</t>
    </r>
    <r>
      <rPr>
        <sz val="9"/>
        <rFont val="ＭＳ Ｐゴシック"/>
        <family val="3"/>
        <charset val="128"/>
      </rPr>
      <t xml:space="preserve">
空中庭園3番：</t>
    </r>
    <r>
      <rPr>
        <b/>
        <sz val="9"/>
        <color rgb="FFFF0000"/>
        <rFont val="ＭＳ Ｐゴシック"/>
        <family val="3"/>
        <charset val="128"/>
      </rPr>
      <t>OK</t>
    </r>
    <r>
      <rPr>
        <sz val="9"/>
        <rFont val="ＭＳ Ｐゴシック"/>
        <family val="3"/>
        <charset val="128"/>
      </rPr>
      <t xml:space="preserve">
</t>
    </r>
    <phoneticPr fontId="3"/>
  </si>
  <si>
    <t>TDS</t>
    <phoneticPr fontId="3"/>
  </si>
  <si>
    <r>
      <t xml:space="preserve">輝岩／
</t>
    </r>
    <r>
      <rPr>
        <sz val="11"/>
        <color theme="0"/>
        <rFont val="ＭＳ Ｐゴシック"/>
        <family val="3"/>
        <charset val="128"/>
      </rPr>
      <t>狩野観光</t>
    </r>
    <rPh sb="0" eb="2">
      <t>キガン</t>
    </rPh>
    <rPh sb="4" eb="6">
      <t>カノウ</t>
    </rPh>
    <rPh sb="6" eb="8">
      <t>カンコウ</t>
    </rPh>
    <phoneticPr fontId="3"/>
  </si>
  <si>
    <r>
      <t xml:space="preserve">(NH830/7:25着) </t>
    </r>
    <r>
      <rPr>
        <b/>
        <sz val="12.5"/>
        <color theme="0"/>
        <rFont val="ＭＳ Ｐゴシック"/>
        <family val="3"/>
        <charset val="128"/>
      </rPr>
      <t xml:space="preserve">成田空港・第1 </t>
    </r>
    <r>
      <rPr>
        <sz val="12.5"/>
        <color theme="0"/>
        <rFont val="ＭＳ Ｐ明朝"/>
        <family val="1"/>
        <charset val="128"/>
      </rPr>
      <t>9:30→11:30昼食12:30→13:00</t>
    </r>
    <r>
      <rPr>
        <b/>
        <sz val="12.5"/>
        <color theme="0"/>
        <rFont val="ＭＳ Ｐゴシック"/>
        <family val="3"/>
        <charset val="128"/>
      </rPr>
      <t>スカイツリー(350m)</t>
    </r>
    <r>
      <rPr>
        <sz val="12.5"/>
        <color theme="0"/>
        <rFont val="ＭＳ Ｐ明朝"/>
        <family val="1"/>
        <charset val="128"/>
      </rPr>
      <t>14:30→(</t>
    </r>
    <r>
      <rPr>
        <b/>
        <sz val="12.5"/>
        <color theme="0"/>
        <rFont val="ＭＳ Ｐゴシック"/>
        <family val="3"/>
        <charset val="128"/>
      </rPr>
      <t>車窓観光:国会議事堂、皇居、東京駅</t>
    </r>
    <r>
      <rPr>
        <sz val="12.5"/>
        <color theme="0"/>
        <rFont val="ＭＳ Ｐ明朝"/>
        <family val="1"/>
        <charset val="128"/>
      </rPr>
      <t>)→15:30頃ホテルチェックイン17:00→17:30</t>
    </r>
    <r>
      <rPr>
        <b/>
        <sz val="12.5"/>
        <color theme="0"/>
        <rFont val="ＭＳ Ｐゴシック"/>
        <family val="3"/>
        <charset val="128"/>
      </rPr>
      <t>渋谷交差点</t>
    </r>
    <r>
      <rPr>
        <sz val="12.5"/>
        <color theme="0"/>
        <rFont val="ＭＳ Ｐ明朝"/>
        <family val="1"/>
        <charset val="128"/>
      </rPr>
      <t>18:30→19:00夕食20:00→20:30ホテル</t>
    </r>
    <rPh sb="11" eb="12">
      <t>チャク</t>
    </rPh>
    <rPh sb="14" eb="18">
      <t>ナリタクウコウ</t>
    </rPh>
    <rPh sb="19" eb="20">
      <t>ダイ</t>
    </rPh>
    <rPh sb="64" eb="68">
      <t>シャソウカンコウ</t>
    </rPh>
    <rPh sb="69" eb="74">
      <t>コッカイギジドウ</t>
    </rPh>
    <rPh sb="75" eb="77">
      <t>コウキョ</t>
    </rPh>
    <rPh sb="78" eb="81">
      <t>トウキョウエキ</t>
    </rPh>
    <rPh sb="88" eb="89">
      <t>ゴロ</t>
    </rPh>
    <phoneticPr fontId="6"/>
  </si>
  <si>
    <r>
      <t>ｽｶｲﾂﾘｰ350m(全旅)&amp;P ：</t>
    </r>
    <r>
      <rPr>
        <b/>
        <sz val="10"/>
        <color theme="0"/>
        <rFont val="ＭＳ Ｐゴシック"/>
        <family val="3"/>
        <charset val="128"/>
      </rPr>
      <t>OK</t>
    </r>
    <phoneticPr fontId="3"/>
  </si>
  <si>
    <r>
      <t>9:00(徒歩)～9:15</t>
    </r>
    <r>
      <rPr>
        <b/>
        <sz val="12"/>
        <color theme="0"/>
        <rFont val="ＭＳ Ｐゴシック"/>
        <family val="3"/>
        <charset val="128"/>
      </rPr>
      <t>浅草寺・仲見世通り</t>
    </r>
    <r>
      <rPr>
        <sz val="12"/>
        <color theme="0"/>
        <rFont val="ＭＳ Ｐ明朝"/>
        <family val="1"/>
        <charset val="128"/>
      </rPr>
      <t>(徒歩)ホテル11:30→12:00昼食+銀座15:00→15:30</t>
    </r>
    <r>
      <rPr>
        <b/>
        <sz val="12"/>
        <color theme="0"/>
        <rFont val="ＭＳ Ｐゴシック"/>
        <family val="3"/>
        <charset val="128"/>
      </rPr>
      <t>浅草港(隅田川クルーズ15:55発)</t>
    </r>
    <r>
      <rPr>
        <sz val="12"/>
        <color theme="0"/>
        <rFont val="ＭＳ Ｐ明朝"/>
        <family val="1"/>
        <charset val="128"/>
      </rPr>
      <t>→16:55</t>
    </r>
    <r>
      <rPr>
        <b/>
        <sz val="12"/>
        <color theme="0"/>
        <rFont val="ＭＳ Ｐゴシック"/>
        <family val="3"/>
        <charset val="128"/>
      </rPr>
      <t>お台場(自由の女神像&amp;ﾚｲﾝﾎﾞｰﾌﾞﾘｯｼﾞ)</t>
    </r>
    <r>
      <rPr>
        <sz val="12"/>
        <color theme="0"/>
        <rFont val="ＭＳ Ｐ明朝"/>
        <family val="1"/>
        <charset val="128"/>
      </rPr>
      <t>17:10→17:20</t>
    </r>
    <r>
      <rPr>
        <b/>
        <sz val="12"/>
        <color theme="0"/>
        <rFont val="ＭＳ Ｐゴシック"/>
        <family val="3"/>
        <charset val="128"/>
      </rPr>
      <t>チームラボ豊洲</t>
    </r>
    <r>
      <rPr>
        <sz val="12"/>
        <color theme="0"/>
        <rFont val="ＭＳ Ｐ明朝"/>
        <family val="1"/>
        <charset val="128"/>
      </rPr>
      <t>19:00→19:30夕食20:15→20:45ホテル</t>
    </r>
    <rPh sb="58" eb="59">
      <t>ミナト</t>
    </rPh>
    <phoneticPr fontId="3"/>
  </si>
  <si>
    <r>
      <t>浅草バス駐車場不要、
隅田川クルーズ：</t>
    </r>
    <r>
      <rPr>
        <b/>
        <sz val="9"/>
        <color theme="0"/>
        <rFont val="ＭＳ Ｐゴシック"/>
        <family val="3"/>
        <charset val="128"/>
      </rPr>
      <t>OK</t>
    </r>
    <r>
      <rPr>
        <sz val="9"/>
        <color theme="0"/>
        <rFont val="ＭＳ Ｐゴシック"/>
        <family val="3"/>
        <charset val="128"/>
      </rPr>
      <t>、
チームラボ豊洲：OK</t>
    </r>
    <phoneticPr fontId="3"/>
  </si>
  <si>
    <r>
      <t>7:30→8:00</t>
    </r>
    <r>
      <rPr>
        <b/>
        <sz val="13"/>
        <color theme="0"/>
        <rFont val="ＭＳ Ｐゴシック"/>
        <family val="3"/>
        <charset val="128"/>
      </rPr>
      <t>羽田空港(T2/NH19)10:00発</t>
    </r>
    <r>
      <rPr>
        <sz val="13"/>
        <color theme="0"/>
        <rFont val="ＭＳ Ｐ明朝"/>
        <family val="1"/>
        <charset val="128"/>
      </rPr>
      <t>→11:10着・伊丹空港12:00→12:30昼食13:30→14:00</t>
    </r>
    <r>
      <rPr>
        <b/>
        <sz val="13"/>
        <color theme="0"/>
        <rFont val="ＭＳ Ｐゴシック"/>
        <family val="3"/>
        <charset val="128"/>
      </rPr>
      <t>大阪城</t>
    </r>
    <r>
      <rPr>
        <sz val="13"/>
        <color theme="0"/>
        <rFont val="ＭＳ Ｐ明朝"/>
        <family val="1"/>
        <charset val="128"/>
      </rPr>
      <t>15:45→16:15</t>
    </r>
    <r>
      <rPr>
        <b/>
        <sz val="13"/>
        <color theme="0"/>
        <rFont val="ＭＳ Ｐゴシック"/>
        <family val="3"/>
        <charset val="128"/>
      </rPr>
      <t>梅田スカイビルディング</t>
    </r>
    <r>
      <rPr>
        <sz val="13"/>
        <color theme="0"/>
        <rFont val="ＭＳ Ｐ明朝"/>
        <family val="1"/>
        <charset val="128"/>
      </rPr>
      <t>17:00→17:30</t>
    </r>
    <r>
      <rPr>
        <b/>
        <sz val="13"/>
        <color theme="0"/>
        <rFont val="ＭＳ Ｐゴシック"/>
        <family val="3"/>
        <charset val="128"/>
      </rPr>
      <t>心斎橋</t>
    </r>
    <r>
      <rPr>
        <sz val="13"/>
        <color theme="0"/>
        <rFont val="ＭＳ Ｐ明朝"/>
        <family val="1"/>
        <charset val="128"/>
      </rPr>
      <t>18:45→19:00夕食20:00→20:30ホテル</t>
    </r>
    <rPh sb="9" eb="11">
      <t>ハネダ</t>
    </rPh>
    <rPh sb="11" eb="13">
      <t>クウコウ</t>
    </rPh>
    <rPh sb="35" eb="39">
      <t>イタミクウコウ</t>
    </rPh>
    <rPh sb="51" eb="53">
      <t>チュウショク</t>
    </rPh>
    <rPh sb="64" eb="67">
      <t>オオサカジョウ</t>
    </rPh>
    <phoneticPr fontId="3"/>
  </si>
  <si>
    <r>
      <t>ガイド国内線：</t>
    </r>
    <r>
      <rPr>
        <b/>
        <sz val="9"/>
        <color theme="0"/>
        <rFont val="ＭＳ Ｐゴシック"/>
        <family val="3"/>
        <charset val="128"/>
      </rPr>
      <t>OK</t>
    </r>
    <r>
      <rPr>
        <sz val="9"/>
        <color theme="0"/>
        <rFont val="ＭＳ Ｐゴシック"/>
        <family val="3"/>
        <charset val="128"/>
      </rPr>
      <t xml:space="preserve">
空中庭園3番：</t>
    </r>
    <r>
      <rPr>
        <b/>
        <sz val="9"/>
        <color theme="0"/>
        <rFont val="ＭＳ Ｐゴシック"/>
        <family val="3"/>
        <charset val="128"/>
      </rPr>
      <t>OK</t>
    </r>
    <r>
      <rPr>
        <sz val="9"/>
        <color theme="0"/>
        <rFont val="ＭＳ Ｐゴシック"/>
        <family val="3"/>
        <charset val="128"/>
      </rPr>
      <t xml:space="preserve">
</t>
    </r>
    <phoneticPr fontId="3"/>
  </si>
  <si>
    <r>
      <t>8:45→9:00</t>
    </r>
    <r>
      <rPr>
        <b/>
        <sz val="13"/>
        <color theme="0"/>
        <rFont val="ＭＳ Ｐゴシック"/>
        <family val="3"/>
        <charset val="128"/>
      </rPr>
      <t>ユニバーサルスタジオジャパン</t>
    </r>
    <r>
      <rPr>
        <sz val="13"/>
        <color theme="0"/>
        <rFont val="ＭＳ Ｐ明朝"/>
        <family val="1"/>
        <charset val="128"/>
      </rPr>
      <t>18:30→19:00夕食20:00→20:30ホテル</t>
    </r>
    <rPh sb="34" eb="36">
      <t>ユウショク</t>
    </rPh>
    <phoneticPr fontId="3"/>
  </si>
  <si>
    <t>ＵＳＪ：OK</t>
    <phoneticPr fontId="3"/>
  </si>
  <si>
    <r>
      <t>9:30→10:15</t>
    </r>
    <r>
      <rPr>
        <b/>
        <sz val="13"/>
        <color theme="0"/>
        <rFont val="ＭＳ Ｐゴシック"/>
        <family val="3"/>
        <charset val="128"/>
      </rPr>
      <t>アトア水族館、ジャイナ教寺院</t>
    </r>
    <r>
      <rPr>
        <sz val="13"/>
        <color theme="0"/>
        <rFont val="ＭＳ Ｐ明朝"/>
        <family val="1"/>
        <charset val="128"/>
      </rPr>
      <t>12:45→13:30昼食14:30→15:30</t>
    </r>
    <r>
      <rPr>
        <b/>
        <sz val="13"/>
        <color theme="0"/>
        <rFont val="ＭＳ Ｐゴシック"/>
        <family val="3"/>
        <charset val="128"/>
      </rPr>
      <t>東大寺・奈良公園</t>
    </r>
    <r>
      <rPr>
        <sz val="13"/>
        <color theme="0"/>
        <rFont val="ＭＳ Ｐ明朝"/>
        <family val="1"/>
        <charset val="128"/>
      </rPr>
      <t>17:30→19:00夕食20:00→20:15ホテル</t>
    </r>
    <rPh sb="21" eb="24">
      <t>キョウジイン</t>
    </rPh>
    <rPh sb="35" eb="37">
      <t>チュウショク</t>
    </rPh>
    <phoneticPr fontId="6"/>
  </si>
  <si>
    <r>
      <t>アトア水族館： OK
奈良公園バス駐車場：OK</t>
    </r>
    <r>
      <rPr>
        <b/>
        <sz val="9"/>
        <color theme="0"/>
        <rFont val="ＭＳ Ｐゴシック"/>
        <family val="3"/>
        <charset val="128"/>
      </rPr>
      <t xml:space="preserve">
</t>
    </r>
  </si>
  <si>
    <r>
      <t>9:00→9:30</t>
    </r>
    <r>
      <rPr>
        <b/>
        <sz val="13"/>
        <color theme="0"/>
        <rFont val="ＭＳ Ｐゴシック"/>
        <family val="3"/>
        <charset val="128"/>
      </rPr>
      <t>清水寺</t>
    </r>
    <r>
      <rPr>
        <sz val="13"/>
        <color theme="0"/>
        <rFont val="ＭＳ Ｐ明朝"/>
        <family val="1"/>
        <charset val="128"/>
      </rPr>
      <t>11:00→11:30</t>
    </r>
    <r>
      <rPr>
        <b/>
        <sz val="13"/>
        <color theme="0"/>
        <rFont val="ＭＳ Ｐゴシック"/>
        <family val="3"/>
        <charset val="128"/>
      </rPr>
      <t>伏見稲荷大社</t>
    </r>
    <r>
      <rPr>
        <sz val="13"/>
        <color theme="0"/>
        <rFont val="ＭＳ Ｐ明朝"/>
        <family val="1"/>
        <charset val="128"/>
      </rPr>
      <t>12:30→13:00昼食14:00→15:00</t>
    </r>
    <r>
      <rPr>
        <b/>
        <sz val="13"/>
        <color theme="0"/>
        <rFont val="ＭＳ Ｐゴシック"/>
        <family val="3"/>
        <charset val="128"/>
      </rPr>
      <t>トロッコ亀岡駅(14号)15:30発</t>
    </r>
    <r>
      <rPr>
        <sz val="13"/>
        <color theme="0"/>
        <rFont val="ＭＳ Ｐ明朝"/>
        <family val="1"/>
        <charset val="128"/>
      </rPr>
      <t>→15:50着・トロッコ</t>
    </r>
    <r>
      <rPr>
        <b/>
        <sz val="13"/>
        <color theme="0"/>
        <rFont val="ＭＳ Ｐゴシック"/>
        <family val="3"/>
        <charset val="128"/>
      </rPr>
      <t>嵐山駅～竹林</t>
    </r>
    <r>
      <rPr>
        <sz val="13"/>
        <color theme="0"/>
        <rFont val="ＭＳ Ｐ明朝"/>
        <family val="1"/>
        <charset val="128"/>
      </rPr>
      <t>17:00→</t>
    </r>
    <r>
      <rPr>
        <b/>
        <sz val="13"/>
        <color theme="0"/>
        <rFont val="ＭＳ Ｐゴシック"/>
        <family val="3"/>
        <charset val="128"/>
      </rPr>
      <t>祇園</t>
    </r>
    <r>
      <rPr>
        <sz val="13"/>
        <color theme="0"/>
        <rFont val="ＭＳ Ｐ明朝"/>
        <family val="1"/>
        <charset val="128"/>
      </rPr>
      <t>(ドライブ)～17:40</t>
    </r>
    <r>
      <rPr>
        <b/>
        <sz val="13"/>
        <color theme="0"/>
        <rFont val="ＭＳ Ｐゴシック"/>
        <family val="3"/>
        <charset val="128"/>
      </rPr>
      <t>寺町</t>
    </r>
    <r>
      <rPr>
        <sz val="13"/>
        <color theme="0"/>
        <rFont val="ＭＳ Ｐ明朝"/>
        <family val="1"/>
        <charset val="128"/>
      </rPr>
      <t>～19:00夕食20:00→20:15ホテル</t>
    </r>
    <rPh sb="9" eb="12">
      <t>キヨミズデラ</t>
    </rPh>
    <rPh sb="23" eb="27">
      <t>フシミイナリ</t>
    </rPh>
    <rPh sb="27" eb="29">
      <t>タイシャ</t>
    </rPh>
    <rPh sb="95" eb="97">
      <t>ギオン</t>
    </rPh>
    <rPh sb="109" eb="111">
      <t>テラマチ</t>
    </rPh>
    <phoneticPr fontId="3"/>
  </si>
  <si>
    <t xml:space="preserve">清水坂バス駐車場：OK
嵯峨野トロッコ：OK
レストラン嵐山バス駐車場：OK
	</t>
    <phoneticPr fontId="3"/>
  </si>
  <si>
    <r>
      <t>8:50→9:30</t>
    </r>
    <r>
      <rPr>
        <b/>
        <sz val="12"/>
        <color theme="0"/>
        <rFont val="ＭＳ Ｐゴシック"/>
        <family val="3"/>
        <charset val="128"/>
      </rPr>
      <t>京都駅(ひかり702号・10:07発)</t>
    </r>
    <r>
      <rPr>
        <sz val="12"/>
        <color theme="0"/>
        <rFont val="ＭＳ Ｐ明朝"/>
        <family val="1"/>
        <charset val="128"/>
      </rPr>
      <t>→11:57着・三島駅12:05→12:40昼食13:35(徒歩)～</t>
    </r>
    <r>
      <rPr>
        <b/>
        <sz val="12"/>
        <color theme="0"/>
        <rFont val="ＭＳ Ｐゴシック"/>
        <family val="3"/>
        <charset val="128"/>
      </rPr>
      <t>箱根町港(海賊船)13:45発</t>
    </r>
    <r>
      <rPr>
        <sz val="12"/>
        <color theme="0"/>
        <rFont val="ＭＳ Ｐ明朝"/>
        <family val="1"/>
        <charset val="128"/>
      </rPr>
      <t>→14:25</t>
    </r>
    <r>
      <rPr>
        <b/>
        <sz val="12"/>
        <color theme="0"/>
        <rFont val="ＭＳ Ｐゴシック"/>
        <family val="3"/>
        <charset val="128"/>
      </rPr>
      <t>桃源台港～駅(箱根ロープウェイ)</t>
    </r>
    <r>
      <rPr>
        <sz val="12"/>
        <color theme="0"/>
        <rFont val="ＭＳ Ｐ明朝"/>
        <family val="1"/>
        <charset val="128"/>
      </rPr>
      <t>→15:10大涌谷駅15:45→17:00ホテル18:45→19:00夕食20:00→20:15ホテル</t>
    </r>
    <rPh sb="9" eb="11">
      <t>キョウト</t>
    </rPh>
    <rPh sb="11" eb="12">
      <t>エキ</t>
    </rPh>
    <rPh sb="36" eb="38">
      <t>ミシマ</t>
    </rPh>
    <rPh sb="38" eb="39">
      <t>エキ</t>
    </rPh>
    <rPh sb="50" eb="52">
      <t>チュウショク</t>
    </rPh>
    <rPh sb="58" eb="60">
      <t>トホ</t>
    </rPh>
    <rPh sb="62" eb="66">
      <t>ハコネマチコウ</t>
    </rPh>
    <rPh sb="86" eb="87">
      <t>ミナト</t>
    </rPh>
    <rPh sb="88" eb="89">
      <t>エキ</t>
    </rPh>
    <rPh sb="90" eb="92">
      <t>ハコネ</t>
    </rPh>
    <rPh sb="105" eb="109">
      <t>オオワクダニエキ</t>
    </rPh>
    <rPh sb="134" eb="136">
      <t>ユウショク</t>
    </rPh>
    <phoneticPr fontId="3"/>
  </si>
  <si>
    <r>
      <t>新幹線：OK
箱根海賊船</t>
    </r>
    <r>
      <rPr>
        <b/>
        <sz val="9"/>
        <color theme="0"/>
        <rFont val="ＭＳ Ｐゴシック"/>
        <family val="3"/>
        <charset val="128"/>
      </rPr>
      <t>OK</t>
    </r>
    <r>
      <rPr>
        <sz val="9"/>
        <color theme="0"/>
        <rFont val="ＭＳ Ｐゴシック"/>
        <family val="3"/>
        <charset val="128"/>
      </rPr>
      <t xml:space="preserve">
箱根ロープウェイ</t>
    </r>
    <r>
      <rPr>
        <b/>
        <sz val="9"/>
        <color theme="0"/>
        <rFont val="ＭＳ Ｐゴシック"/>
        <family val="3"/>
        <charset val="128"/>
      </rPr>
      <t>OK</t>
    </r>
  </si>
  <si>
    <r>
      <t>9:30→10:30</t>
    </r>
    <r>
      <rPr>
        <b/>
        <sz val="13"/>
        <color theme="0"/>
        <rFont val="ＭＳ Ｐゴシック"/>
        <family val="3"/>
        <charset val="128"/>
      </rPr>
      <t>富士山五合目</t>
    </r>
    <r>
      <rPr>
        <sz val="13"/>
        <color theme="0"/>
        <rFont val="ＭＳ Ｐ明朝"/>
        <family val="1"/>
        <charset val="128"/>
      </rPr>
      <t>11:15→12:30昼食13:30→14:00</t>
    </r>
    <r>
      <rPr>
        <b/>
        <sz val="13"/>
        <color theme="0"/>
        <rFont val="ＭＳ Ｐゴシック"/>
        <family val="3"/>
        <charset val="128"/>
      </rPr>
      <t>御殿場プレミアムアウトレット</t>
    </r>
    <r>
      <rPr>
        <sz val="13"/>
        <color theme="0"/>
        <rFont val="ＭＳ Ｐ明朝"/>
        <family val="1"/>
        <charset val="128"/>
      </rPr>
      <t>16:15→19:00夕食20:00→20:30ホテル</t>
    </r>
    <rPh sb="10" eb="16">
      <t>フジサンゴゴウメ</t>
    </rPh>
    <rPh sb="27" eb="29">
      <t>チュウショク</t>
    </rPh>
    <rPh sb="65" eb="67">
      <t>ユウショク</t>
    </rPh>
    <phoneticPr fontId="6"/>
  </si>
  <si>
    <r>
      <t>8:45→9:00</t>
    </r>
    <r>
      <rPr>
        <b/>
        <sz val="13"/>
        <color theme="0"/>
        <rFont val="ＭＳ Ｐゴシック"/>
        <family val="3"/>
        <charset val="128"/>
      </rPr>
      <t>東京ディズニーシー</t>
    </r>
    <r>
      <rPr>
        <sz val="13"/>
        <color theme="0"/>
        <rFont val="ＭＳ Ｐ明朝"/>
        <family val="1"/>
        <charset val="128"/>
      </rPr>
      <t>18:30→19:00夕食20:00→20:30ホテル</t>
    </r>
    <rPh sb="9" eb="11">
      <t>トウキョウ</t>
    </rPh>
    <rPh sb="29" eb="31">
      <t>ユウショク</t>
    </rPh>
    <phoneticPr fontId="3"/>
  </si>
  <si>
    <r>
      <t>7:15→8:15</t>
    </r>
    <r>
      <rPr>
        <b/>
        <sz val="13"/>
        <color theme="0"/>
        <rFont val="ＭＳ Ｐゴシック"/>
        <family val="3"/>
        <charset val="128"/>
      </rPr>
      <t xml:space="preserve">成田空港・第1 </t>
    </r>
    <r>
      <rPr>
        <sz val="13"/>
        <color theme="0"/>
        <rFont val="ＭＳ Ｐゴシック"/>
        <family val="3"/>
        <charset val="128"/>
      </rPr>
      <t>(</t>
    </r>
    <r>
      <rPr>
        <sz val="13"/>
        <color theme="0"/>
        <rFont val="ＭＳ Ｐ明朝"/>
        <family val="1"/>
        <charset val="128"/>
      </rPr>
      <t>11:15発/NH829)</t>
    </r>
    <rPh sb="9" eb="11">
      <t>ナリタ</t>
    </rPh>
    <rPh sb="11" eb="13">
      <t>クウコウ</t>
    </rPh>
    <rPh sb="14" eb="15">
      <t>ダイ</t>
    </rPh>
    <rPh sb="23" eb="24">
      <t>ハツ</t>
    </rPh>
    <phoneticPr fontId="3"/>
  </si>
  <si>
    <r>
      <rPr>
        <sz val="11"/>
        <color theme="0"/>
        <rFont val="ＭＳ Ｐゴシック"/>
        <family val="3"/>
        <charset val="128"/>
      </rPr>
      <t>狩野／</t>
    </r>
    <r>
      <rPr>
        <sz val="11"/>
        <color theme="1"/>
        <rFont val="ＭＳ Ｐゴシック"/>
        <family val="3"/>
        <charset val="128"/>
      </rPr>
      <t xml:space="preserve">
総企バス
</t>
    </r>
    <r>
      <rPr>
        <sz val="11"/>
        <color theme="0"/>
        <rFont val="ＭＳ Ｐゴシック"/>
        <family val="3"/>
        <charset val="128"/>
      </rPr>
      <t>狩野観光</t>
    </r>
    <r>
      <rPr>
        <sz val="11"/>
        <color theme="1"/>
        <rFont val="ＭＳ Ｐゴシック"/>
        <family val="3"/>
        <charset val="128"/>
      </rPr>
      <t xml:space="preserve">	</t>
    </r>
    <rPh sb="0" eb="2">
      <t>カノウ</t>
    </rPh>
    <rPh sb="4" eb="5">
      <t>ソウ</t>
    </rPh>
    <rPh sb="5" eb="6">
      <t>キ</t>
    </rPh>
    <rPh sb="10" eb="14">
      <t>カノウカンコウ</t>
    </rPh>
    <phoneticPr fontId="3"/>
  </si>
  <si>
    <r>
      <rPr>
        <sz val="12"/>
        <color theme="0"/>
        <rFont val="ＭＳ Ｐ明朝"/>
        <family val="1"/>
        <charset val="128"/>
      </rPr>
      <t>7:00→8:00</t>
    </r>
    <r>
      <rPr>
        <b/>
        <sz val="12"/>
        <color theme="0"/>
        <rFont val="ＭＳ Ｐゴシック"/>
        <family val="3"/>
        <charset val="128"/>
      </rPr>
      <t>新大阪駅</t>
    </r>
    <r>
      <rPr>
        <b/>
        <sz val="12"/>
        <color rgb="FF0000FF"/>
        <rFont val="ＭＳ Ｐゴシック"/>
        <family val="3"/>
        <charset val="128"/>
      </rPr>
      <t>(のぞみ1号)</t>
    </r>
    <r>
      <rPr>
        <b/>
        <sz val="12"/>
        <color theme="0"/>
        <rFont val="ＭＳ Ｐゴシック"/>
        <family val="3"/>
        <charset val="128"/>
      </rPr>
      <t>8:24発</t>
    </r>
    <r>
      <rPr>
        <sz val="12"/>
        <rFont val="ＭＳ Ｐ明朝"/>
        <family val="1"/>
        <charset val="128"/>
      </rPr>
      <t>→9:49着・広島駅10:00→宮島口～11:00</t>
    </r>
    <r>
      <rPr>
        <b/>
        <sz val="12"/>
        <rFont val="ＭＳ Ｐゴシック"/>
        <family val="3"/>
        <charset val="128"/>
      </rPr>
      <t>宮島・厳島神社</t>
    </r>
    <r>
      <rPr>
        <sz val="12"/>
        <rFont val="ＭＳ Ｐ明朝"/>
        <family val="1"/>
        <charset val="128"/>
      </rPr>
      <t>～宮島口13:00→14:00昼食14:45→15:15</t>
    </r>
    <r>
      <rPr>
        <b/>
        <sz val="12"/>
        <rFont val="ＭＳ Ｐゴシック"/>
        <family val="3"/>
        <charset val="128"/>
      </rPr>
      <t>平和記念公園、資料館、貞子記念碑、原爆ﾄﾞｰﾑ</t>
    </r>
    <r>
      <rPr>
        <sz val="12"/>
        <rFont val="ＭＳ Ｐ明朝"/>
        <family val="1"/>
        <charset val="128"/>
      </rPr>
      <t>16:45→17:10</t>
    </r>
    <r>
      <rPr>
        <b/>
        <sz val="12"/>
        <color rgb="FF0000FF"/>
        <rFont val="ＭＳ Ｐゴシック"/>
        <family val="3"/>
        <charset val="128"/>
      </rPr>
      <t>広島駅(のぞみ50号)17:43→</t>
    </r>
    <r>
      <rPr>
        <sz val="12"/>
        <color theme="0"/>
        <rFont val="ＭＳ Ｐ明朝"/>
        <family val="1"/>
        <charset val="128"/>
      </rPr>
      <t>19:04着・新大阪駅19:15→19:30夕食20:30→21:00ホテル</t>
    </r>
    <rPh sb="9" eb="12">
      <t>シンオオサカ</t>
    </rPh>
    <rPh sb="12" eb="13">
      <t>エキ</t>
    </rPh>
    <rPh sb="24" eb="25">
      <t>ハツ</t>
    </rPh>
    <rPh sb="30" eb="31">
      <t>チャク</t>
    </rPh>
    <rPh sb="149" eb="152">
      <t>シンオオサカ</t>
    </rPh>
    <phoneticPr fontId="3"/>
  </si>
  <si>
    <r>
      <t>新幹線</t>
    </r>
    <r>
      <rPr>
        <b/>
        <sz val="9"/>
        <color theme="0"/>
        <rFont val="ＭＳ Ｐゴシック"/>
        <family val="3"/>
        <charset val="128"/>
      </rPr>
      <t>往路１号でOK</t>
    </r>
    <r>
      <rPr>
        <sz val="9"/>
        <color theme="0"/>
        <rFont val="ＭＳ Ｐゴシック"/>
        <family val="3"/>
        <charset val="128"/>
      </rPr>
      <t>、帰路50号</t>
    </r>
    <r>
      <rPr>
        <b/>
        <sz val="9"/>
        <color theme="0"/>
        <rFont val="ＭＳ Ｐゴシック"/>
        <family val="3"/>
        <charset val="128"/>
      </rPr>
      <t>OK</t>
    </r>
    <r>
      <rPr>
        <sz val="9"/>
        <color theme="0"/>
        <rFont val="ＭＳ Ｐゴシック"/>
        <family val="3"/>
        <charset val="128"/>
      </rPr>
      <t xml:space="preserve">
資料館：OK</t>
    </r>
  </si>
  <si>
    <r>
      <t>※狩野観光：ミネラルウオーター42本積込みお願いします。リーベル大阪192本、配送します。</t>
    </r>
    <r>
      <rPr>
        <b/>
        <sz val="10"/>
        <color theme="0"/>
        <rFont val="ＭＳ Ｐゴシック"/>
        <family val="3"/>
        <charset val="128"/>
      </rPr>
      <t>確認してください。広島分も大阪で配布してください。</t>
    </r>
    <rPh sb="1" eb="5">
      <t>カノウカンコウ</t>
    </rPh>
    <rPh sb="17" eb="18">
      <t>ホン</t>
    </rPh>
    <rPh sb="18" eb="20">
      <t>ツミコ</t>
    </rPh>
    <rPh sb="22" eb="23">
      <t>ネガ</t>
    </rPh>
    <rPh sb="32" eb="34">
      <t>オオサカ</t>
    </rPh>
    <rPh sb="37" eb="38">
      <t>ホン</t>
    </rPh>
    <rPh sb="39" eb="41">
      <t>ハイソウ</t>
    </rPh>
    <rPh sb="45" eb="47">
      <t>カクニン</t>
    </rPh>
    <rPh sb="54" eb="56">
      <t>ヒロシマ</t>
    </rPh>
    <rPh sb="56" eb="57">
      <t>ブン</t>
    </rPh>
    <rPh sb="58" eb="60">
      <t>オオサカ</t>
    </rPh>
    <rPh sb="61" eb="63">
      <t>ハイフ</t>
    </rPh>
    <phoneticPr fontId="3"/>
  </si>
  <si>
    <r>
      <rPr>
        <sz val="11"/>
        <color theme="0"/>
        <rFont val="ＭＳ Ｐゴシック"/>
        <family val="3"/>
        <charset val="128"/>
      </rPr>
      <t>輝岩／</t>
    </r>
    <r>
      <rPr>
        <sz val="11"/>
        <color theme="1"/>
        <rFont val="ＭＳ Ｐゴシック"/>
        <family val="3"/>
        <charset val="128"/>
      </rPr>
      <t xml:space="preserve">
狩野観光</t>
    </r>
    <rPh sb="0" eb="2">
      <t>キガン</t>
    </rPh>
    <rPh sb="4" eb="6">
      <t>カノウ</t>
    </rPh>
    <rPh sb="6" eb="8">
      <t>カンコウ</t>
    </rPh>
    <phoneticPr fontId="3"/>
  </si>
  <si>
    <r>
      <t xml:space="preserve">狩野／
</t>
    </r>
    <r>
      <rPr>
        <sz val="11"/>
        <color theme="0"/>
        <rFont val="ＭＳ Ｐゴシック"/>
        <family val="3"/>
        <charset val="128"/>
      </rPr>
      <t>総企バス</t>
    </r>
    <r>
      <rPr>
        <sz val="11"/>
        <color theme="1"/>
        <rFont val="ＭＳ Ｐゴシック"/>
        <family val="3"/>
        <charset val="128"/>
      </rPr>
      <t xml:space="preserve">
狩野観光	</t>
    </r>
    <rPh sb="0" eb="2">
      <t>カノウ</t>
    </rPh>
    <rPh sb="4" eb="5">
      <t>ソウ</t>
    </rPh>
    <rPh sb="5" eb="6">
      <t>キ</t>
    </rPh>
    <rPh sb="10" eb="14">
      <t>カノウカンコウ</t>
    </rPh>
    <phoneticPr fontId="3"/>
  </si>
  <si>
    <r>
      <t>7:00→8:00</t>
    </r>
    <r>
      <rPr>
        <b/>
        <sz val="12"/>
        <color rgb="FF0000FF"/>
        <rFont val="ＭＳ Ｐゴシック"/>
        <family val="3"/>
        <charset val="128"/>
      </rPr>
      <t>新大阪駅(のぞみ1号)8:24発</t>
    </r>
    <r>
      <rPr>
        <sz val="12"/>
        <rFont val="ＭＳ Ｐ明朝"/>
        <family val="1"/>
        <charset val="128"/>
      </rPr>
      <t>→</t>
    </r>
    <r>
      <rPr>
        <sz val="12"/>
        <color theme="0"/>
        <rFont val="ＭＳ Ｐ明朝"/>
        <family val="1"/>
        <charset val="128"/>
      </rPr>
      <t>9:49着・広島駅10:00→宮島口～11:00</t>
    </r>
    <r>
      <rPr>
        <b/>
        <sz val="12"/>
        <color theme="0"/>
        <rFont val="ＭＳ Ｐゴシック"/>
        <family val="3"/>
        <charset val="128"/>
      </rPr>
      <t>宮島・厳島神社</t>
    </r>
    <r>
      <rPr>
        <sz val="12"/>
        <color theme="0"/>
        <rFont val="ＭＳ Ｐ明朝"/>
        <family val="1"/>
        <charset val="128"/>
      </rPr>
      <t>～宮島口13:00→14:00昼食14:45→15:15</t>
    </r>
    <r>
      <rPr>
        <b/>
        <sz val="12"/>
        <color theme="0"/>
        <rFont val="ＭＳ Ｐゴシック"/>
        <family val="3"/>
        <charset val="128"/>
      </rPr>
      <t>平和記念公園、資料館、貞子記念碑、原爆ﾄﾞｰﾑ</t>
    </r>
    <r>
      <rPr>
        <sz val="12"/>
        <color theme="0"/>
        <rFont val="ＭＳ Ｐ明朝"/>
        <family val="1"/>
        <charset val="128"/>
      </rPr>
      <t>16:45→17:10</t>
    </r>
    <r>
      <rPr>
        <b/>
        <sz val="12"/>
        <color theme="0"/>
        <rFont val="ＭＳ Ｐゴシック"/>
        <family val="3"/>
        <charset val="128"/>
      </rPr>
      <t>広島駅</t>
    </r>
    <r>
      <rPr>
        <b/>
        <sz val="12"/>
        <color rgb="FF0000FF"/>
        <rFont val="ＭＳ Ｐゴシック"/>
        <family val="3"/>
        <charset val="128"/>
      </rPr>
      <t>(のぞみ50号)</t>
    </r>
    <r>
      <rPr>
        <b/>
        <sz val="12"/>
        <color theme="0"/>
        <rFont val="ＭＳ Ｐゴシック"/>
        <family val="3"/>
        <charset val="128"/>
      </rPr>
      <t>17:43</t>
    </r>
    <r>
      <rPr>
        <b/>
        <sz val="12"/>
        <color rgb="FF0000FF"/>
        <rFont val="ＭＳ Ｐゴシック"/>
        <family val="3"/>
        <charset val="128"/>
      </rPr>
      <t>→</t>
    </r>
    <r>
      <rPr>
        <sz val="12"/>
        <rFont val="ＭＳ Ｐ明朝"/>
        <family val="1"/>
        <charset val="128"/>
      </rPr>
      <t>19:04着・新大阪駅19:15→19:30夕食20:30→21:00ホテル</t>
    </r>
    <rPh sb="9" eb="12">
      <t>シンオオサカ</t>
    </rPh>
    <rPh sb="12" eb="13">
      <t>エキ</t>
    </rPh>
    <rPh sb="24" eb="25">
      <t>ハツ</t>
    </rPh>
    <rPh sb="30" eb="31">
      <t>チャク</t>
    </rPh>
    <rPh sb="149" eb="152">
      <t>シンオオサカ</t>
    </rPh>
    <phoneticPr fontId="3"/>
  </si>
  <si>
    <r>
      <t>狩野観光／</t>
    </r>
    <r>
      <rPr>
        <sz val="11"/>
        <color theme="0"/>
        <rFont val="ＭＳ Ｐゴシック"/>
        <family val="3"/>
        <charset val="128"/>
      </rPr>
      <t>輝岩</t>
    </r>
    <rPh sb="0" eb="4">
      <t>カノウカンコウ</t>
    </rPh>
    <rPh sb="5" eb="7">
      <t>キガン</t>
    </rPh>
    <phoneticPr fontId="3"/>
  </si>
  <si>
    <r>
      <t>8:50→9:30</t>
    </r>
    <r>
      <rPr>
        <b/>
        <sz val="12"/>
        <color rgb="FF0000FF"/>
        <rFont val="ＭＳ Ｐゴシック"/>
        <family val="3"/>
        <charset val="128"/>
      </rPr>
      <t>京都駅(ひかり702号・10:07発)</t>
    </r>
    <r>
      <rPr>
        <sz val="12"/>
        <color theme="1"/>
        <rFont val="ＭＳ Ｐ明朝"/>
        <family val="1"/>
        <charset val="128"/>
      </rPr>
      <t>→</t>
    </r>
    <r>
      <rPr>
        <sz val="12"/>
        <color theme="0"/>
        <rFont val="ＭＳ Ｐ明朝"/>
        <family val="1"/>
        <charset val="128"/>
      </rPr>
      <t>11:57着・三島駅12:05→12:40昼食13:35(徒歩)～</t>
    </r>
    <r>
      <rPr>
        <b/>
        <sz val="12"/>
        <color theme="0"/>
        <rFont val="ＭＳ Ｐゴシック"/>
        <family val="3"/>
        <charset val="128"/>
      </rPr>
      <t>箱根町港(海賊船)13:45発</t>
    </r>
    <r>
      <rPr>
        <sz val="12"/>
        <color theme="0"/>
        <rFont val="ＭＳ Ｐ明朝"/>
        <family val="1"/>
        <charset val="128"/>
      </rPr>
      <t>→14:25</t>
    </r>
    <r>
      <rPr>
        <b/>
        <sz val="12"/>
        <color theme="0"/>
        <rFont val="ＭＳ Ｐゴシック"/>
        <family val="3"/>
        <charset val="128"/>
      </rPr>
      <t>桃源台港～駅(箱根ロープウェイ)</t>
    </r>
    <r>
      <rPr>
        <sz val="12"/>
        <color theme="0"/>
        <rFont val="ＭＳ Ｐ明朝"/>
        <family val="1"/>
        <charset val="128"/>
      </rPr>
      <t>→15:10大涌谷駅15:45→17:00ホテル18:45→19:00夕食20:00→20:15ホテル</t>
    </r>
    <rPh sb="9" eb="11">
      <t>キョウト</t>
    </rPh>
    <rPh sb="11" eb="12">
      <t>エキ</t>
    </rPh>
    <rPh sb="36" eb="38">
      <t>ミシマ</t>
    </rPh>
    <rPh sb="38" eb="39">
      <t>エキ</t>
    </rPh>
    <rPh sb="50" eb="52">
      <t>チュウショク</t>
    </rPh>
    <rPh sb="58" eb="60">
      <t>トホ</t>
    </rPh>
    <rPh sb="62" eb="66">
      <t>ハコネマチコウ</t>
    </rPh>
    <rPh sb="86" eb="87">
      <t>ミナト</t>
    </rPh>
    <rPh sb="88" eb="89">
      <t>エキ</t>
    </rPh>
    <rPh sb="90" eb="92">
      <t>ハコネ</t>
    </rPh>
    <rPh sb="105" eb="109">
      <t>オオワクダニエキ</t>
    </rPh>
    <rPh sb="134" eb="136">
      <t>ユウショク</t>
    </rPh>
    <phoneticPr fontId="3"/>
  </si>
  <si>
    <r>
      <t>新幹線：</t>
    </r>
    <r>
      <rPr>
        <sz val="9"/>
        <color rgb="FFFF0000"/>
        <rFont val="ＭＳ Ｐゴシック"/>
        <family val="3"/>
        <charset val="128"/>
      </rPr>
      <t>OK</t>
    </r>
    <r>
      <rPr>
        <sz val="9"/>
        <color theme="0"/>
        <rFont val="ＭＳ Ｐゴシック"/>
        <family val="3"/>
        <charset val="128"/>
      </rPr>
      <t xml:space="preserve">
箱根海賊船</t>
    </r>
    <r>
      <rPr>
        <b/>
        <sz val="9"/>
        <color theme="0"/>
        <rFont val="ＭＳ Ｐゴシック"/>
        <family val="3"/>
        <charset val="128"/>
      </rPr>
      <t>OK</t>
    </r>
    <r>
      <rPr>
        <sz val="9"/>
        <color theme="0"/>
        <rFont val="ＭＳ Ｐゴシック"/>
        <family val="3"/>
        <charset val="128"/>
      </rPr>
      <t xml:space="preserve">
箱根ロープウェイ</t>
    </r>
    <r>
      <rPr>
        <b/>
        <sz val="9"/>
        <color theme="0"/>
        <rFont val="ＭＳ Ｐゴシック"/>
        <family val="3"/>
        <charset val="128"/>
      </rPr>
      <t>OK</t>
    </r>
    <phoneticPr fontId="3"/>
  </si>
  <si>
    <r>
      <rPr>
        <sz val="13"/>
        <color theme="0"/>
        <rFont val="ＭＳ Ｐ明朝"/>
        <family val="1"/>
        <charset val="128"/>
      </rPr>
      <t>7:30→8:00</t>
    </r>
    <r>
      <rPr>
        <b/>
        <sz val="13"/>
        <color theme="0"/>
        <rFont val="ＭＳ Ｐゴシック"/>
        <family val="3"/>
        <charset val="128"/>
      </rPr>
      <t>羽田空港(T2/</t>
    </r>
    <r>
      <rPr>
        <b/>
        <sz val="13"/>
        <color rgb="FF0000FF"/>
        <rFont val="ＭＳ Ｐゴシック"/>
        <family val="3"/>
        <charset val="128"/>
      </rPr>
      <t>NH19</t>
    </r>
    <r>
      <rPr>
        <b/>
        <sz val="13"/>
        <color theme="0"/>
        <rFont val="ＭＳ Ｐゴシック"/>
        <family val="3"/>
        <charset val="128"/>
      </rPr>
      <t>)10:00発</t>
    </r>
    <r>
      <rPr>
        <sz val="13"/>
        <rFont val="ＭＳ Ｐ明朝"/>
        <family val="1"/>
        <charset val="128"/>
      </rPr>
      <t>→11:10着・伊丹空港12:00→12:30昼食13:30→14:00</t>
    </r>
    <r>
      <rPr>
        <b/>
        <sz val="13"/>
        <rFont val="ＭＳ Ｐゴシック"/>
        <family val="3"/>
        <charset val="128"/>
      </rPr>
      <t>大阪城</t>
    </r>
    <r>
      <rPr>
        <sz val="13"/>
        <rFont val="ＭＳ Ｐ明朝"/>
        <family val="1"/>
        <charset val="128"/>
      </rPr>
      <t>15:45→16:15</t>
    </r>
    <r>
      <rPr>
        <b/>
        <sz val="13"/>
        <rFont val="ＭＳ Ｐゴシック"/>
        <family val="3"/>
        <charset val="128"/>
      </rPr>
      <t>梅田スカイビルディング</t>
    </r>
    <r>
      <rPr>
        <sz val="13"/>
        <rFont val="ＭＳ Ｐ明朝"/>
        <family val="1"/>
        <charset val="128"/>
      </rPr>
      <t>17:00→17:30</t>
    </r>
    <r>
      <rPr>
        <b/>
        <sz val="13"/>
        <rFont val="ＭＳ Ｐゴシック"/>
        <family val="3"/>
        <charset val="128"/>
      </rPr>
      <t>心斎橋</t>
    </r>
    <r>
      <rPr>
        <sz val="13"/>
        <rFont val="ＭＳ Ｐ明朝"/>
        <family val="1"/>
        <charset val="128"/>
      </rPr>
      <t>18:45→19:00夕食20:00→20:30ホテル</t>
    </r>
    <rPh sb="9" eb="11">
      <t>ハネダ</t>
    </rPh>
    <rPh sb="11" eb="13">
      <t>クウコウ</t>
    </rPh>
    <rPh sb="35" eb="39">
      <t>イタミクウコウ</t>
    </rPh>
    <rPh sb="51" eb="53">
      <t>チュウショク</t>
    </rPh>
    <rPh sb="64" eb="67">
      <t>オオサカジョウ</t>
    </rPh>
    <phoneticPr fontId="3"/>
  </si>
  <si>
    <r>
      <t>7:00→8:00</t>
    </r>
    <r>
      <rPr>
        <b/>
        <sz val="12"/>
        <color theme="0"/>
        <rFont val="ＭＳ Ｐゴシック"/>
        <family val="3"/>
        <charset val="128"/>
      </rPr>
      <t>新大阪駅(のぞみ1号)8:24発</t>
    </r>
    <r>
      <rPr>
        <sz val="12"/>
        <color theme="0"/>
        <rFont val="ＭＳ Ｐ明朝"/>
        <family val="1"/>
        <charset val="128"/>
      </rPr>
      <t>→9:49着・広島駅10:00→宮島口～11:00</t>
    </r>
    <r>
      <rPr>
        <b/>
        <sz val="12"/>
        <color theme="0"/>
        <rFont val="ＭＳ Ｐゴシック"/>
        <family val="3"/>
        <charset val="128"/>
      </rPr>
      <t>宮島・厳島神社</t>
    </r>
    <r>
      <rPr>
        <sz val="12"/>
        <color theme="0"/>
        <rFont val="ＭＳ Ｐ明朝"/>
        <family val="1"/>
        <charset val="128"/>
      </rPr>
      <t>～宮島口13:00→14:00昼食14:45→15:15</t>
    </r>
    <r>
      <rPr>
        <b/>
        <sz val="12"/>
        <color theme="0"/>
        <rFont val="ＭＳ Ｐゴシック"/>
        <family val="3"/>
        <charset val="128"/>
      </rPr>
      <t>平和記念公園、資料館、貞子記念碑、原爆ﾄﾞｰﾑ</t>
    </r>
    <r>
      <rPr>
        <sz val="12"/>
        <color theme="0"/>
        <rFont val="ＭＳ Ｐ明朝"/>
        <family val="1"/>
        <charset val="128"/>
      </rPr>
      <t>16:45→17:10</t>
    </r>
    <r>
      <rPr>
        <b/>
        <sz val="12"/>
        <color theme="0"/>
        <rFont val="ＭＳ Ｐゴシック"/>
        <family val="3"/>
        <charset val="128"/>
      </rPr>
      <t>広島駅(のぞみ50号)17:43→</t>
    </r>
    <r>
      <rPr>
        <sz val="12"/>
        <color theme="0"/>
        <rFont val="ＭＳ Ｐ明朝"/>
        <family val="1"/>
        <charset val="128"/>
      </rPr>
      <t>19:04着・新大阪駅19:15→19:30夕食20:30→21:00ホテル</t>
    </r>
    <rPh sb="9" eb="12">
      <t>シンオオサカ</t>
    </rPh>
    <rPh sb="12" eb="13">
      <t>エキ</t>
    </rPh>
    <rPh sb="24" eb="25">
      <t>ハツ</t>
    </rPh>
    <rPh sb="30" eb="31">
      <t>チャク</t>
    </rPh>
    <rPh sb="149" eb="152">
      <t>シンオオサカ</t>
    </rPh>
    <phoneticPr fontId="3"/>
  </si>
  <si>
    <r>
      <t>7:30→8:00</t>
    </r>
    <r>
      <rPr>
        <b/>
        <sz val="13"/>
        <color rgb="FF0000FF"/>
        <rFont val="ＭＳ Ｐゴシック"/>
        <family val="3"/>
        <charset val="128"/>
      </rPr>
      <t>羽田空港(T2/NH19)10:00発</t>
    </r>
    <r>
      <rPr>
        <sz val="13"/>
        <rFont val="ＭＳ Ｐ明朝"/>
        <family val="1"/>
        <charset val="128"/>
      </rPr>
      <t>→</t>
    </r>
    <r>
      <rPr>
        <sz val="13"/>
        <color theme="0"/>
        <rFont val="ＭＳ Ｐ明朝"/>
        <family val="1"/>
        <charset val="128"/>
      </rPr>
      <t>11:10着・伊丹空港12:00→12:30昼食13:30→14:00</t>
    </r>
    <r>
      <rPr>
        <b/>
        <sz val="13"/>
        <color theme="0"/>
        <rFont val="ＭＳ Ｐゴシック"/>
        <family val="3"/>
        <charset val="128"/>
      </rPr>
      <t>大阪城</t>
    </r>
    <r>
      <rPr>
        <sz val="13"/>
        <color theme="0"/>
        <rFont val="ＭＳ Ｐ明朝"/>
        <family val="1"/>
        <charset val="128"/>
      </rPr>
      <t>15:45→16:15</t>
    </r>
    <r>
      <rPr>
        <b/>
        <sz val="13"/>
        <color theme="0"/>
        <rFont val="ＭＳ Ｐゴシック"/>
        <family val="3"/>
        <charset val="128"/>
      </rPr>
      <t>梅田スカイビルディング</t>
    </r>
    <r>
      <rPr>
        <sz val="13"/>
        <color theme="0"/>
        <rFont val="ＭＳ Ｐ明朝"/>
        <family val="1"/>
        <charset val="128"/>
      </rPr>
      <t>17:00→17:30</t>
    </r>
    <r>
      <rPr>
        <b/>
        <sz val="13"/>
        <color theme="0"/>
        <rFont val="ＭＳ Ｐゴシック"/>
        <family val="3"/>
        <charset val="128"/>
      </rPr>
      <t>心斎橋</t>
    </r>
    <r>
      <rPr>
        <sz val="13"/>
        <color theme="0"/>
        <rFont val="ＭＳ Ｐ明朝"/>
        <family val="1"/>
        <charset val="128"/>
      </rPr>
      <t>18:45→19:00夕食20:00→20:30ホテル</t>
    </r>
    <rPh sb="9" eb="11">
      <t>ハネダ</t>
    </rPh>
    <rPh sb="11" eb="13">
      <t>クウコウ</t>
    </rPh>
    <rPh sb="35" eb="39">
      <t>イタミクウコウ</t>
    </rPh>
    <rPh sb="51" eb="53">
      <t>チュウショク</t>
    </rPh>
    <rPh sb="64" eb="67">
      <t>オオサカジョウ</t>
    </rPh>
    <phoneticPr fontId="3"/>
  </si>
  <si>
    <r>
      <rPr>
        <sz val="11"/>
        <color theme="0"/>
        <rFont val="ＭＳ Ｐゴシック"/>
        <family val="3"/>
        <charset val="128"/>
      </rPr>
      <t>狩野観光</t>
    </r>
    <r>
      <rPr>
        <sz val="11"/>
        <color theme="1"/>
        <rFont val="ＭＳ Ｐゴシック"/>
        <family val="3"/>
        <charset val="128"/>
      </rPr>
      <t>／輝岩</t>
    </r>
    <rPh sb="0" eb="4">
      <t>カノウカンコウ</t>
    </rPh>
    <rPh sb="5" eb="7">
      <t>キガン</t>
    </rPh>
    <phoneticPr fontId="3"/>
  </si>
  <si>
    <r>
      <t>8:50→9:30</t>
    </r>
    <r>
      <rPr>
        <b/>
        <sz val="12"/>
        <color rgb="FF0000FF"/>
        <rFont val="ＭＳ Ｐゴシック"/>
        <family val="3"/>
        <charset val="128"/>
      </rPr>
      <t>京都駅(ひかり702号</t>
    </r>
    <r>
      <rPr>
        <b/>
        <sz val="12"/>
        <color theme="0"/>
        <rFont val="ＭＳ Ｐゴシック"/>
        <family val="3"/>
        <charset val="128"/>
      </rPr>
      <t>・10:07発</t>
    </r>
    <r>
      <rPr>
        <b/>
        <sz val="12"/>
        <color rgb="FF0000FF"/>
        <rFont val="ＭＳ Ｐゴシック"/>
        <family val="3"/>
        <charset val="128"/>
      </rPr>
      <t>)</t>
    </r>
    <r>
      <rPr>
        <sz val="12"/>
        <color theme="1"/>
        <rFont val="ＭＳ Ｐ明朝"/>
        <family val="1"/>
        <charset val="128"/>
      </rPr>
      <t>→11:57着・三島駅12:05→12:40昼食13:35(徒歩)～</t>
    </r>
    <r>
      <rPr>
        <b/>
        <sz val="12"/>
        <color theme="1"/>
        <rFont val="ＭＳ Ｐゴシック"/>
        <family val="3"/>
        <charset val="128"/>
      </rPr>
      <t>箱根町港(海賊船)13:45発</t>
    </r>
    <r>
      <rPr>
        <sz val="12"/>
        <color theme="1"/>
        <rFont val="ＭＳ Ｐ明朝"/>
        <family val="1"/>
        <charset val="128"/>
      </rPr>
      <t>→14:25</t>
    </r>
    <r>
      <rPr>
        <b/>
        <sz val="12"/>
        <color theme="1"/>
        <rFont val="ＭＳ Ｐゴシック"/>
        <family val="3"/>
        <charset val="128"/>
      </rPr>
      <t>桃源台港～駅(箱根ロープウェイ)</t>
    </r>
    <r>
      <rPr>
        <sz val="12"/>
        <color theme="1"/>
        <rFont val="ＭＳ Ｐ明朝"/>
        <family val="1"/>
        <charset val="128"/>
      </rPr>
      <t>→15:10大涌谷駅15:45→17:00ホテル18:45→19:00夕食20:00→20:15ホテル</t>
    </r>
    <rPh sb="9" eb="11">
      <t>キョウト</t>
    </rPh>
    <rPh sb="11" eb="12">
      <t>エキ</t>
    </rPh>
    <rPh sb="36" eb="38">
      <t>ミシマ</t>
    </rPh>
    <rPh sb="38" eb="39">
      <t>エキ</t>
    </rPh>
    <rPh sb="50" eb="52">
      <t>チュウショク</t>
    </rPh>
    <rPh sb="58" eb="60">
      <t>トホ</t>
    </rPh>
    <rPh sb="62" eb="66">
      <t>ハコネマチコウ</t>
    </rPh>
    <rPh sb="86" eb="87">
      <t>ミナト</t>
    </rPh>
    <rPh sb="88" eb="89">
      <t>エキ</t>
    </rPh>
    <rPh sb="90" eb="92">
      <t>ハコネ</t>
    </rPh>
    <rPh sb="105" eb="109">
      <t>オオワクダニエキ</t>
    </rPh>
    <rPh sb="134" eb="136">
      <t>ユウショク</t>
    </rPh>
    <phoneticPr fontId="3"/>
  </si>
  <si>
    <t>21 PAX (18 + 3)  incl. 1x age 13, 1x age 17</t>
  </si>
  <si>
    <t>Visit Odaiba - Statue of Liberty (replica) &amp; Rainbow Bridge</t>
  </si>
  <si>
    <t>Boxed Breakfast - Govinda's (delivery)</t>
  </si>
  <si>
    <t>Lunch - 2,500 yen refund per person (self-arranged within USJ)</t>
  </si>
  <si>
    <t>Boxed Breakfast - Mayur (delivery)</t>
  </si>
  <si>
    <t>Lunch - 2,500 yen refund per person (self-arranged within TDS)</t>
  </si>
  <si>
    <r>
      <t>新幹線</t>
    </r>
    <r>
      <rPr>
        <b/>
        <sz val="9"/>
        <rFont val="ＭＳ Ｐゴシック"/>
        <family val="3"/>
        <charset val="128"/>
      </rPr>
      <t>往路１号で</t>
    </r>
    <r>
      <rPr>
        <b/>
        <sz val="9"/>
        <color rgb="FFFF0000"/>
        <rFont val="ＭＳ Ｐゴシック"/>
        <family val="3"/>
        <charset val="128"/>
      </rPr>
      <t>OK</t>
    </r>
    <r>
      <rPr>
        <sz val="9"/>
        <rFont val="ＭＳ Ｐゴシック"/>
        <family val="3"/>
        <charset val="128"/>
      </rPr>
      <t>、帰路50号</t>
    </r>
    <r>
      <rPr>
        <b/>
        <sz val="9"/>
        <color rgb="FFFF0000"/>
        <rFont val="ＭＳ Ｐゴシック"/>
        <family val="3"/>
        <charset val="128"/>
      </rPr>
      <t>OK</t>
    </r>
    <r>
      <rPr>
        <sz val="9"/>
        <rFont val="ＭＳ Ｐゴシック"/>
        <family val="3"/>
        <charset val="128"/>
      </rPr>
      <t xml:space="preserve">
資料館：</t>
    </r>
    <r>
      <rPr>
        <sz val="9"/>
        <color rgb="FFFF0000"/>
        <rFont val="ＭＳ Ｐゴシック"/>
        <family val="3"/>
        <charset val="128"/>
      </rPr>
      <t>OK</t>
    </r>
    <r>
      <rPr>
        <sz val="9"/>
        <rFont val="ＭＳ Ｐゴシック"/>
        <family val="3"/>
        <charset val="128"/>
      </rPr>
      <t xml:space="preserve">
新大阪駅駐車場</t>
    </r>
    <r>
      <rPr>
        <sz val="9"/>
        <color rgb="FFFF0000"/>
        <rFont val="ＭＳ Ｐゴシック"/>
        <family val="3"/>
        <charset val="128"/>
      </rPr>
      <t>OK</t>
    </r>
  </si>
  <si>
    <t>渋谷(シブヤ) 090-1435-4174 野田200か904</t>
  </si>
  <si>
    <t>※宅急便発送、どこから、いつ送るかはTMと相談して決めてください</t>
    <rPh sb="1" eb="4">
      <t>タッキュウビン</t>
    </rPh>
    <rPh sb="4" eb="6">
      <t>ハッソウ</t>
    </rPh>
    <rPh sb="14" eb="15">
      <t>オク</t>
    </rPh>
    <rPh sb="21" eb="23">
      <t>ソウダン</t>
    </rPh>
    <rPh sb="25" eb="26">
      <t>キ</t>
    </rPh>
    <phoneticPr fontId="3"/>
  </si>
  <si>
    <r>
      <t>9:30→10:10</t>
    </r>
    <r>
      <rPr>
        <b/>
        <sz val="12"/>
        <color theme="1"/>
        <rFont val="ＭＳ Ｐゴシック"/>
        <family val="3"/>
        <charset val="128"/>
      </rPr>
      <t>東京スカイツリー(350m)</t>
    </r>
    <r>
      <rPr>
        <sz val="12"/>
        <color theme="1"/>
        <rFont val="ＭＳ Ｐ明朝"/>
        <family val="1"/>
        <charset val="128"/>
      </rPr>
      <t>11:40→12:15昼食13:15→13:45</t>
    </r>
    <r>
      <rPr>
        <b/>
        <sz val="12"/>
        <color theme="1"/>
        <rFont val="ＭＳ Ｐゴシック"/>
        <family val="3"/>
        <charset val="128"/>
      </rPr>
      <t>浅草水上バス乗場(隅田川クルーズ14:00発</t>
    </r>
    <r>
      <rPr>
        <sz val="12"/>
        <color theme="1"/>
        <rFont val="ＭＳ Ｐ明朝"/>
        <family val="1"/>
        <charset val="128"/>
      </rPr>
      <t>→15:00</t>
    </r>
    <r>
      <rPr>
        <b/>
        <sz val="12"/>
        <color theme="1"/>
        <rFont val="ＭＳ Ｐゴシック"/>
        <family val="3"/>
        <charset val="128"/>
      </rPr>
      <t>お台場(自由の女神像&amp;レインボーブリッジ)</t>
    </r>
    <r>
      <rPr>
        <sz val="12"/>
        <color theme="1"/>
        <rFont val="ＭＳ Ｐ明朝"/>
        <family val="1"/>
        <charset val="128"/>
      </rPr>
      <t>15:30→16:15</t>
    </r>
    <r>
      <rPr>
        <b/>
        <sz val="12"/>
        <color theme="1"/>
        <rFont val="ＭＳ Ｐゴシック"/>
        <family val="3"/>
        <charset val="128"/>
      </rPr>
      <t>渋谷交差点</t>
    </r>
    <r>
      <rPr>
        <sz val="12"/>
        <color theme="1"/>
        <rFont val="ＭＳ Ｐ明朝"/>
        <family val="1"/>
        <charset val="128"/>
      </rPr>
      <t>18:15→19:00夕食20:00→20:30ホテル</t>
    </r>
    <rPh sb="35" eb="37">
      <t>チュウショク</t>
    </rPh>
    <rPh sb="57" eb="60">
      <t>スミダガワ</t>
    </rPh>
    <rPh sb="69" eb="70">
      <t>ハツ</t>
    </rPh>
    <rPh sb="77" eb="79">
      <t>ダイバ</t>
    </rPh>
    <rPh sb="80" eb="82">
      <t>ジユウ</t>
    </rPh>
    <rPh sb="83" eb="86">
      <t>メガミゾウ</t>
    </rPh>
    <rPh sb="124" eb="126">
      <t>ユウショク</t>
    </rPh>
    <phoneticPr fontId="3"/>
  </si>
  <si>
    <r>
      <t>TDS</t>
    </r>
    <r>
      <rPr>
        <b/>
        <sz val="9"/>
        <color rgb="FFFF0000"/>
        <rFont val="ＭＳ Ｐゴシック"/>
        <family val="3"/>
        <charset val="128"/>
      </rPr>
      <t>OK</t>
    </r>
    <phoneticPr fontId="3"/>
  </si>
  <si>
    <r>
      <t xml:space="preserve">(NH830/7:25着) </t>
    </r>
    <r>
      <rPr>
        <b/>
        <sz val="12"/>
        <color rgb="FF0000FF"/>
        <rFont val="ＭＳ Ｐゴシック"/>
        <family val="3"/>
        <charset val="128"/>
      </rPr>
      <t xml:space="preserve">成田空港・第1 </t>
    </r>
    <r>
      <rPr>
        <sz val="12"/>
        <color theme="1"/>
        <rFont val="ＭＳ Ｐ明朝"/>
        <family val="1"/>
        <charset val="128"/>
      </rPr>
      <t>9:30→11:30昼食12:30→13:00</t>
    </r>
    <r>
      <rPr>
        <b/>
        <sz val="12"/>
        <color theme="1"/>
        <rFont val="ＭＳ Ｐゴシック"/>
        <family val="3"/>
        <charset val="128"/>
      </rPr>
      <t>浅草寺+仲見世通り</t>
    </r>
    <r>
      <rPr>
        <sz val="12"/>
        <color theme="1"/>
        <rFont val="ＭＳ Ｐ明朝"/>
        <family val="1"/>
        <charset val="128"/>
      </rPr>
      <t>14:30→14:45ホテルチェックイン＆休憩
17:00→17:30</t>
    </r>
    <r>
      <rPr>
        <b/>
        <sz val="12"/>
        <color theme="1"/>
        <rFont val="ＭＳ Ｐゴシック"/>
        <family val="3"/>
        <charset val="128"/>
      </rPr>
      <t>チームラボ豊洲</t>
    </r>
    <r>
      <rPr>
        <sz val="12"/>
        <color theme="1"/>
        <rFont val="ＭＳ Ｐ明朝"/>
        <family val="1"/>
        <charset val="128"/>
      </rPr>
      <t>19:00→19:30夕食20:15→20:45ホテル</t>
    </r>
    <rPh sb="75" eb="77">
      <t>キュウケイ</t>
    </rPh>
    <phoneticPr fontId="3"/>
  </si>
  <si>
    <r>
      <rPr>
        <sz val="12"/>
        <color theme="0"/>
        <rFont val="ＭＳ Ｐ明朝"/>
        <family val="1"/>
        <charset val="128"/>
      </rPr>
      <t>8:50→9:30</t>
    </r>
    <r>
      <rPr>
        <b/>
        <sz val="12"/>
        <color theme="0"/>
        <rFont val="ＭＳ Ｐゴシック"/>
        <family val="3"/>
        <charset val="128"/>
      </rPr>
      <t>京都駅</t>
    </r>
    <r>
      <rPr>
        <b/>
        <sz val="12"/>
        <color rgb="FF0000FF"/>
        <rFont val="ＭＳ Ｐゴシック"/>
        <family val="3"/>
        <charset val="128"/>
      </rPr>
      <t>(ひかり702号</t>
    </r>
    <r>
      <rPr>
        <b/>
        <sz val="12"/>
        <color theme="0"/>
        <rFont val="ＭＳ Ｐゴシック"/>
        <family val="3"/>
        <charset val="128"/>
      </rPr>
      <t>・10:07発)</t>
    </r>
    <r>
      <rPr>
        <sz val="12"/>
        <color theme="1"/>
        <rFont val="ＭＳ Ｐ明朝"/>
        <family val="1"/>
        <charset val="128"/>
      </rPr>
      <t>→11:57着・三島駅12:05→12:40昼食13:35(徒歩)～</t>
    </r>
    <r>
      <rPr>
        <b/>
        <sz val="12"/>
        <color theme="1"/>
        <rFont val="ＭＳ Ｐゴシック"/>
        <family val="3"/>
        <charset val="128"/>
      </rPr>
      <t>箱根町港(海賊船)13:45発</t>
    </r>
    <r>
      <rPr>
        <sz val="12"/>
        <color theme="1"/>
        <rFont val="ＭＳ Ｐ明朝"/>
        <family val="1"/>
        <charset val="128"/>
      </rPr>
      <t>→14:25</t>
    </r>
    <r>
      <rPr>
        <b/>
        <sz val="12"/>
        <color theme="1"/>
        <rFont val="ＭＳ Ｐゴシック"/>
        <family val="3"/>
        <charset val="128"/>
      </rPr>
      <t>桃源台港～駅(箱根ロープウェイ)</t>
    </r>
    <r>
      <rPr>
        <sz val="12"/>
        <color theme="1"/>
        <rFont val="ＭＳ Ｐ明朝"/>
        <family val="1"/>
        <charset val="128"/>
      </rPr>
      <t>→15:10大涌谷駅15:45→17:00ホテル18:45→19:00夕食20:00→20:15ホテル</t>
    </r>
    <rPh sb="9" eb="11">
      <t>キョウト</t>
    </rPh>
    <rPh sb="11" eb="12">
      <t>エキ</t>
    </rPh>
    <rPh sb="36" eb="38">
      <t>ミシマ</t>
    </rPh>
    <rPh sb="38" eb="39">
      <t>エキ</t>
    </rPh>
    <rPh sb="50" eb="52">
      <t>チュウショク</t>
    </rPh>
    <rPh sb="58" eb="60">
      <t>トホ</t>
    </rPh>
    <rPh sb="62" eb="66">
      <t>ハコネマチコウ</t>
    </rPh>
    <rPh sb="86" eb="87">
      <t>ミナト</t>
    </rPh>
    <rPh sb="88" eb="89">
      <t>エキ</t>
    </rPh>
    <rPh sb="90" eb="92">
      <t>ハコネ</t>
    </rPh>
    <rPh sb="105" eb="109">
      <t>オオワクダニエキ</t>
    </rPh>
    <rPh sb="134" eb="136">
      <t>ユウショク</t>
    </rPh>
    <phoneticPr fontId="3"/>
  </si>
  <si>
    <t>※輝岩商事：ミネラルウオーター84本(6/15,16分)、また、84本(6/22,23)積込みお願いします。ロイヤル舞浜に在庫あります(6/24,6/25分)</t>
    <rPh sb="1" eb="2">
      <t>キ</t>
    </rPh>
    <rPh sb="2" eb="3">
      <t>ガン</t>
    </rPh>
    <rPh sb="3" eb="5">
      <t>ショウジ</t>
    </rPh>
    <rPh sb="34" eb="35">
      <t>ホン</t>
    </rPh>
    <rPh sb="77" eb="78">
      <t>ブン</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</si>
</sst>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d;@"/>
    <numFmt numFmtId="177" formatCode="\(aaa\)"/>
    <numFmt numFmtId="178" formatCode="#"/>
    <numFmt numFmtId="179" formatCode="&quot;KIC &quot;0000"/>
    <numFmt numFmtId="180" formatCode="\(@\)"/>
    <numFmt numFmtId="181" formatCode="&quot;DAY&quot;#,##0"/>
    <numFmt numFmtId="182" formatCode="d\-mmm\(ddd\)"/>
  </numFmts>
  <fonts count="103">
    <font>
      <sz val="11"/>
      <color theme="1"/>
      <name val="游ゴシック"/>
      <family val="2"/>
      <charset val="128"/>
      <scheme val="minor"/>
    </font>
    <font>
      <sz val="11"/>
      <color theme="1"/>
      <name val="游ゴシック"/>
      <family val="2"/>
      <charset val="128"/>
      <scheme val="minor"/>
    </font>
    <font>
      <sz val="12"/>
      <color theme="1"/>
      <name val="Times New Roman"/>
      <family val="1"/>
    </font>
    <font>
      <sz val="6"/>
      <name val="游ゴシック"/>
      <family val="2"/>
      <charset val="128"/>
      <scheme val="minor"/>
    </font>
    <font>
      <sz val="6"/>
      <name val="ＭＳ Ｐゴシック"/>
      <family val="3"/>
      <charset val="128"/>
    </font>
    <font>
      <sz val="12"/>
      <color theme="1"/>
      <name val="ＭＳ Ｐ明朝"/>
      <family val="1"/>
      <charset val="128"/>
    </font>
    <font>
      <sz val="6"/>
      <name val="游ゴシック"/>
      <family val="3"/>
      <charset val="128"/>
      <scheme val="minor"/>
    </font>
    <font>
      <sz val="14"/>
      <color theme="1"/>
      <name val="Yu Gothic"/>
      <family val="3"/>
      <charset val="128"/>
    </font>
    <font>
      <sz val="14"/>
      <color theme="1"/>
      <name val="Times New Roman"/>
      <family val="1"/>
    </font>
    <font>
      <sz val="11"/>
      <color theme="1"/>
      <name val="游ゴシック"/>
      <family val="3"/>
      <charset val="128"/>
      <scheme val="minor"/>
    </font>
    <font>
      <sz val="24"/>
      <color theme="1"/>
      <name val="Times New Roman"/>
      <family val="1"/>
    </font>
    <font>
      <sz val="16"/>
      <name val="Times New Roman"/>
      <family val="1"/>
    </font>
    <font>
      <sz val="16"/>
      <color theme="1"/>
      <name val="Times New Roman"/>
      <family val="1"/>
    </font>
    <font>
      <sz val="12"/>
      <color theme="1"/>
      <name val="Yu Gothic UI"/>
      <family val="3"/>
      <charset val="128"/>
    </font>
    <font>
      <sz val="16"/>
      <color theme="1"/>
      <name val="ＭＳ Ｐ明朝"/>
      <family val="1"/>
      <charset val="128"/>
    </font>
    <font>
      <sz val="14"/>
      <color theme="1"/>
      <name val="ＭＳ Ｐ明朝"/>
      <family val="1"/>
      <charset val="128"/>
    </font>
    <font>
      <sz val="18"/>
      <color theme="1"/>
      <name val="ＭＳ Ｐ明朝"/>
      <family val="1"/>
      <charset val="128"/>
    </font>
    <font>
      <sz val="12"/>
      <name val="ＭＳ Ｐ明朝"/>
      <family val="1"/>
      <charset val="128"/>
    </font>
    <font>
      <sz val="12"/>
      <name val="Times New Roman"/>
      <family val="1"/>
    </font>
    <font>
      <b/>
      <sz val="10"/>
      <color theme="0"/>
      <name val="ＭＳ Ｐゴシック"/>
      <family val="3"/>
      <charset val="128"/>
    </font>
    <font>
      <sz val="12"/>
      <name val="Yu Gothic UI"/>
      <family val="3"/>
      <charset val="128"/>
    </font>
    <font>
      <b/>
      <sz val="12"/>
      <color theme="1"/>
      <name val="ＭＳ Ｐゴシック"/>
      <family val="3"/>
      <charset val="128"/>
    </font>
    <font>
      <sz val="14"/>
      <name val="Times New Roman"/>
      <family val="1"/>
    </font>
    <font>
      <sz val="14"/>
      <color theme="0"/>
      <name val="Times New Roman"/>
      <family val="1"/>
      <charset val="128"/>
    </font>
    <font>
      <b/>
      <i/>
      <sz val="14"/>
      <color theme="1" tint="0.499984740745262"/>
      <name val="Times New Roman"/>
      <family val="1"/>
    </font>
    <font>
      <sz val="11"/>
      <color theme="1"/>
      <name val="Times New Roman"/>
      <family val="1"/>
    </font>
    <font>
      <b/>
      <sz val="12"/>
      <name val="ＭＳ Ｐゴシック"/>
      <family val="3"/>
      <charset val="128"/>
    </font>
    <font>
      <b/>
      <sz val="12"/>
      <color rgb="FF0000FF"/>
      <name val="ＭＳ Ｐゴシック"/>
      <family val="3"/>
      <charset val="128"/>
    </font>
    <font>
      <sz val="11"/>
      <name val="ＭＳ Ｐゴシック"/>
      <family val="3"/>
      <charset val="128"/>
    </font>
    <font>
      <sz val="10"/>
      <color theme="1"/>
      <name val="ＭＳ Ｐゴシック"/>
      <family val="3"/>
      <charset val="128"/>
    </font>
    <font>
      <sz val="11"/>
      <color theme="1"/>
      <name val="ＭＳ Ｐゴシック"/>
      <family val="3"/>
      <charset val="128"/>
    </font>
    <font>
      <sz val="12"/>
      <color theme="1"/>
      <name val="ＭＳ Ｐゴシック"/>
      <family val="3"/>
      <charset val="128"/>
    </font>
    <font>
      <sz val="14"/>
      <color rgb="FFFF0000"/>
      <name val="Times New Roman"/>
      <family val="1"/>
    </font>
    <font>
      <sz val="11"/>
      <color theme="1"/>
      <name val="Yu Gothic UI"/>
      <family val="3"/>
      <charset val="128"/>
    </font>
    <font>
      <sz val="9"/>
      <color theme="1"/>
      <name val="Yu Gothic UI"/>
      <family val="3"/>
      <charset val="128"/>
    </font>
    <font>
      <sz val="10"/>
      <color theme="1"/>
      <name val="Yu Gothic UI"/>
      <family val="3"/>
      <charset val="128"/>
    </font>
    <font>
      <sz val="12"/>
      <color theme="0"/>
      <name val="ＭＳ Ｐゴシック"/>
      <family val="3"/>
      <charset val="128"/>
    </font>
    <font>
      <sz val="11"/>
      <color theme="0"/>
      <name val="ＭＳ Ｐゴシック"/>
      <family val="3"/>
      <charset val="128"/>
    </font>
    <font>
      <b/>
      <sz val="11"/>
      <color theme="0"/>
      <name val="ＭＳ Ｐゴシック"/>
      <family val="3"/>
      <charset val="128"/>
    </font>
    <font>
      <sz val="16"/>
      <name val="ＭＳ Ｐ明朝"/>
      <family val="1"/>
      <charset val="128"/>
    </font>
    <font>
      <sz val="12"/>
      <name val="ＭＳ Ｐゴシック"/>
      <family val="3"/>
      <charset val="128"/>
    </font>
    <font>
      <b/>
      <sz val="11"/>
      <color theme="1"/>
      <name val="ＭＳ Ｐゴシック"/>
      <family val="3"/>
      <charset val="128"/>
    </font>
    <font>
      <sz val="14"/>
      <color theme="1"/>
      <name val="ＭＳ Ｐゴシック"/>
      <family val="3"/>
      <charset val="128"/>
    </font>
    <font>
      <sz val="18"/>
      <color theme="1"/>
      <name val="ＭＳ Ｐゴシック"/>
      <family val="3"/>
      <charset val="128"/>
    </font>
    <font>
      <sz val="11"/>
      <color rgb="FF000000"/>
      <name val="ＭＳ Ｐゴシック"/>
      <family val="3"/>
      <charset val="128"/>
    </font>
    <font>
      <sz val="14"/>
      <color theme="0"/>
      <name val="ＭＳ Ｐゴシック"/>
      <family val="3"/>
      <charset val="128"/>
    </font>
    <font>
      <b/>
      <i/>
      <sz val="14"/>
      <color theme="1" tint="0.499984740745262"/>
      <name val="ＭＳ Ｐゴシック"/>
      <family val="3"/>
      <charset val="128"/>
    </font>
    <font>
      <sz val="11"/>
      <color rgb="FF000000"/>
      <name val="Yu Gothic UI"/>
      <family val="3"/>
      <charset val="128"/>
    </font>
    <font>
      <sz val="13"/>
      <color theme="1"/>
      <name val="ＭＳ Ｐ明朝"/>
      <family val="1"/>
      <charset val="128"/>
    </font>
    <font>
      <b/>
      <sz val="13"/>
      <color rgb="FF0000FF"/>
      <name val="ＭＳ Ｐゴシック"/>
      <family val="3"/>
      <charset val="128"/>
    </font>
    <font>
      <b/>
      <sz val="13"/>
      <color theme="1"/>
      <name val="ＭＳ Ｐゴシック"/>
      <family val="3"/>
      <charset val="128"/>
    </font>
    <font>
      <sz val="13"/>
      <name val="ＭＳ Ｐ明朝"/>
      <family val="1"/>
      <charset val="128"/>
    </font>
    <font>
      <b/>
      <sz val="13"/>
      <name val="ＭＳ Ｐゴシック"/>
      <family val="3"/>
      <charset val="128"/>
    </font>
    <font>
      <sz val="13"/>
      <color theme="1"/>
      <name val="ＭＳ Ｐゴシック"/>
      <family val="3"/>
      <charset val="128"/>
    </font>
    <font>
      <u/>
      <sz val="11"/>
      <color theme="10"/>
      <name val="游ゴシック"/>
      <family val="2"/>
      <charset val="128"/>
      <scheme val="minor"/>
    </font>
    <font>
      <sz val="12"/>
      <color theme="1"/>
      <name val="Tahoma"/>
      <family val="2"/>
    </font>
    <font>
      <sz val="10"/>
      <color theme="1"/>
      <name val="Tahoma"/>
      <family val="2"/>
    </font>
    <font>
      <b/>
      <sz val="14"/>
      <color theme="1"/>
      <name val="Tahoma"/>
      <family val="2"/>
    </font>
    <font>
      <sz val="12"/>
      <color rgb="FF000000"/>
      <name val="Tahoma"/>
      <family val="2"/>
    </font>
    <font>
      <sz val="12"/>
      <color rgb="FFFF0000"/>
      <name val="Tahoma"/>
      <family val="2"/>
    </font>
    <font>
      <b/>
      <sz val="12"/>
      <color rgb="FF0000FF"/>
      <name val="Tahoma"/>
      <family val="2"/>
    </font>
    <font>
      <sz val="12"/>
      <name val="Tahoma"/>
      <family val="2"/>
    </font>
    <font>
      <sz val="11.5"/>
      <color rgb="FF000000"/>
      <name val="Tahoma"/>
      <family val="2"/>
    </font>
    <font>
      <sz val="12"/>
      <color rgb="FF0000FF"/>
      <name val="Tahoma"/>
      <family val="2"/>
    </font>
    <font>
      <sz val="11"/>
      <color theme="0"/>
      <name val="Times New Roman"/>
      <family val="1"/>
    </font>
    <font>
      <sz val="11"/>
      <color theme="0"/>
      <name val="游ゴシック"/>
      <family val="2"/>
      <charset val="128"/>
      <scheme val="minor"/>
    </font>
    <font>
      <sz val="18"/>
      <color theme="0"/>
      <name val="ＭＳ Ｐゴシック"/>
      <family val="3"/>
      <charset val="128"/>
    </font>
    <font>
      <sz val="10"/>
      <color theme="1"/>
      <name val="ＭＳ Ｐ明朝"/>
      <family val="1"/>
      <charset val="128"/>
    </font>
    <font>
      <sz val="12.5"/>
      <color rgb="FF000000"/>
      <name val="ＭＳ Ｐ明朝"/>
      <family val="1"/>
      <charset val="128"/>
    </font>
    <font>
      <sz val="12.5"/>
      <color theme="1"/>
      <name val="ＭＳ Ｐ明朝"/>
      <family val="1"/>
      <charset val="128"/>
    </font>
    <font>
      <b/>
      <sz val="12.5"/>
      <color rgb="FF0000FF"/>
      <name val="ＭＳ Ｐゴシック"/>
      <family val="3"/>
      <charset val="128"/>
    </font>
    <font>
      <b/>
      <sz val="12.5"/>
      <color rgb="FF000000"/>
      <name val="ＭＳ Ｐゴシック"/>
      <family val="3"/>
      <charset val="128"/>
    </font>
    <font>
      <sz val="11"/>
      <name val="Yu Gothic UI"/>
      <family val="3"/>
      <charset val="128"/>
    </font>
    <font>
      <b/>
      <sz val="12"/>
      <color theme="1"/>
      <name val="Tahoma"/>
      <family val="2"/>
    </font>
    <font>
      <sz val="12"/>
      <name val="Yu Gothic　"/>
      <family val="3"/>
      <charset val="128"/>
    </font>
    <font>
      <sz val="10"/>
      <color rgb="FF000000"/>
      <name val="ＭＳ Ｐゴシック"/>
      <family val="3"/>
      <charset val="128"/>
    </font>
    <font>
      <sz val="12"/>
      <color rgb="FFFFFF00"/>
      <name val="Tahoma"/>
      <family val="2"/>
    </font>
    <font>
      <sz val="10"/>
      <name val="ＭＳ Ｐゴシック"/>
      <family val="3"/>
      <charset val="128"/>
    </font>
    <font>
      <sz val="9"/>
      <name val="ＭＳ Ｐゴシック"/>
      <family val="3"/>
      <charset val="128"/>
    </font>
    <font>
      <b/>
      <sz val="9"/>
      <name val="ＭＳ Ｐゴシック"/>
      <family val="3"/>
      <charset val="128"/>
    </font>
    <font>
      <b/>
      <sz val="10"/>
      <color rgb="FFFF0000"/>
      <name val="ＭＳ Ｐゴシック"/>
      <family val="3"/>
      <charset val="128"/>
    </font>
    <font>
      <b/>
      <sz val="9"/>
      <color rgb="FFFF0000"/>
      <name val="ＭＳ Ｐゴシック"/>
      <family val="3"/>
      <charset val="128"/>
    </font>
    <font>
      <sz val="9"/>
      <color rgb="FFFF0000"/>
      <name val="ＭＳ Ｐゴシック"/>
      <family val="3"/>
      <charset val="128"/>
    </font>
    <font>
      <sz val="24"/>
      <color theme="1"/>
      <name val="Times New Roman"/>
      <family val="1"/>
      <charset val="128"/>
    </font>
    <font>
      <b/>
      <sz val="10"/>
      <color theme="1"/>
      <name val="ＭＳ Ｐゴシック"/>
      <family val="3"/>
      <charset val="128"/>
    </font>
    <font>
      <sz val="9"/>
      <color theme="0"/>
      <name val="ＭＳ Ｐゴシック"/>
      <family val="3"/>
      <charset val="128"/>
    </font>
    <font>
      <sz val="16"/>
      <color theme="0"/>
      <name val="Times New Roman"/>
      <family val="1"/>
    </font>
    <font>
      <sz val="12.5"/>
      <color theme="0"/>
      <name val="ＭＳ Ｐ明朝"/>
      <family val="1"/>
      <charset val="128"/>
    </font>
    <font>
      <b/>
      <sz val="12.5"/>
      <color theme="0"/>
      <name val="ＭＳ Ｐゴシック"/>
      <family val="3"/>
      <charset val="128"/>
    </font>
    <font>
      <sz val="10"/>
      <color theme="0"/>
      <name val="ＭＳ Ｐゴシック"/>
      <family val="3"/>
      <charset val="128"/>
    </font>
    <font>
      <sz val="14"/>
      <color theme="0"/>
      <name val="ＭＳ Ｐ明朝"/>
      <family val="1"/>
      <charset val="128"/>
    </font>
    <font>
      <sz val="14"/>
      <color theme="0"/>
      <name val="Times New Roman"/>
      <family val="1"/>
    </font>
    <font>
      <sz val="12"/>
      <color theme="0"/>
      <name val="Yu Gothic UI"/>
      <family val="3"/>
      <charset val="128"/>
    </font>
    <font>
      <sz val="12"/>
      <color theme="0"/>
      <name val="Times New Roman"/>
      <family val="1"/>
    </font>
    <font>
      <sz val="12"/>
      <color theme="0"/>
      <name val="ＭＳ Ｐ明朝"/>
      <family val="1"/>
      <charset val="128"/>
    </font>
    <font>
      <b/>
      <sz val="12"/>
      <color theme="0"/>
      <name val="ＭＳ Ｐゴシック"/>
      <family val="3"/>
      <charset val="128"/>
    </font>
    <font>
      <b/>
      <sz val="9"/>
      <color theme="0"/>
      <name val="ＭＳ Ｐゴシック"/>
      <family val="3"/>
      <charset val="128"/>
    </font>
    <font>
      <sz val="13"/>
      <color theme="0"/>
      <name val="ＭＳ Ｐ明朝"/>
      <family val="1"/>
      <charset val="128"/>
    </font>
    <font>
      <b/>
      <sz val="13"/>
      <color theme="0"/>
      <name val="ＭＳ Ｐゴシック"/>
      <family val="3"/>
      <charset val="128"/>
    </font>
    <font>
      <sz val="12"/>
      <color theme="0"/>
      <name val="Yu Gothic　"/>
      <family val="3"/>
      <charset val="128"/>
    </font>
    <font>
      <sz val="11"/>
      <color theme="0"/>
      <name val="Yu Gothic UI"/>
      <family val="3"/>
      <charset val="128"/>
    </font>
    <font>
      <sz val="13"/>
      <color theme="0"/>
      <name val="ＭＳ Ｐゴシック"/>
      <family val="3"/>
      <charset val="128"/>
    </font>
    <font>
      <b/>
      <sz val="9"/>
      <color rgb="FF0000FF"/>
      <name val="ＭＳ Ｐゴシック"/>
      <family val="3"/>
      <charset val="128"/>
    </font>
  </fonts>
  <fills count="7">
    <fill>
      <patternFill patternType="none"/>
    </fill>
    <fill>
      <patternFill patternType="gray125"/>
    </fill>
    <fill>
      <patternFill patternType="solid">
        <fgColor rgb="FFFFFF66"/>
        <bgColor indexed="64"/>
      </patternFill>
    </fill>
    <fill>
      <patternFill patternType="solid">
        <fgColor rgb="FFFFFFFF"/>
        <bgColor indexed="64"/>
      </patternFill>
    </fill>
    <fill>
      <patternFill patternType="solid">
        <fgColor theme="0"/>
        <bgColor indexed="64"/>
      </patternFill>
    </fill>
    <fill>
      <patternFill patternType="solid">
        <fgColor rgb="FFFFFFCC"/>
        <bgColor indexed="64"/>
      </patternFill>
    </fill>
    <fill>
      <patternFill patternType="solid">
        <fgColor rgb="FFFFFF00"/>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bottom/>
      <diagonal/>
    </border>
    <border>
      <left/>
      <right style="thin">
        <color indexed="64"/>
      </right>
      <top/>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dotted">
        <color indexed="64"/>
      </bottom>
      <diagonal/>
    </border>
    <border>
      <left style="thin">
        <color indexed="64"/>
      </left>
      <right style="thin">
        <color indexed="64"/>
      </right>
      <top/>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bottom style="thin">
        <color indexed="64"/>
      </bottom>
      <diagonal/>
    </border>
    <border>
      <left style="thin">
        <color indexed="64"/>
      </left>
      <right style="thin">
        <color indexed="64"/>
      </right>
      <top style="dotted">
        <color indexed="64"/>
      </top>
      <bottom style="thin">
        <color indexed="64"/>
      </bottom>
      <diagonal/>
    </border>
    <border>
      <left/>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right style="hair">
        <color auto="1"/>
      </right>
      <top/>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style="hair">
        <color auto="1"/>
      </right>
      <top/>
      <bottom style="hair">
        <color auto="1"/>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dotted">
        <color indexed="64"/>
      </top>
      <bottom style="hair">
        <color indexed="64"/>
      </bottom>
      <diagonal/>
    </border>
    <border>
      <left/>
      <right/>
      <top style="dotted">
        <color indexed="64"/>
      </top>
      <bottom style="hair">
        <color indexed="64"/>
      </bottom>
      <diagonal/>
    </border>
    <border>
      <left/>
      <right style="thin">
        <color indexed="64"/>
      </right>
      <top style="dotted">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s>
  <cellStyleXfs count="8">
    <xf numFmtId="0" fontId="0" fillId="0" borderId="0">
      <alignment vertical="center"/>
    </xf>
    <xf numFmtId="0" fontId="9" fillId="0" borderId="0">
      <alignment vertical="center"/>
    </xf>
    <xf numFmtId="0" fontId="1" fillId="0" borderId="0">
      <alignment vertical="center"/>
    </xf>
    <xf numFmtId="0" fontId="1" fillId="0" borderId="0">
      <alignment vertical="center"/>
    </xf>
    <xf numFmtId="0" fontId="28" fillId="0" borderId="0"/>
    <xf numFmtId="0" fontId="1" fillId="0" borderId="0">
      <alignment vertical="center"/>
    </xf>
    <xf numFmtId="0" fontId="1" fillId="0" borderId="0">
      <alignment vertical="center"/>
    </xf>
    <xf numFmtId="0" fontId="54" fillId="0" borderId="0">
      <alignment vertical="center"/>
    </xf>
  </cellStyleXfs>
  <cellXfs count="688">
    <xf numFmtId="0" fontId="0" fillId="0" borderId="0" xfId="0">
      <alignment vertical="center"/>
    </xf>
    <xf numFmtId="0" fontId="24" fillId="0" borderId="21" xfId="0" applyFont="1" applyBorder="1" applyAlignment="1" applyProtection="1">
      <alignment horizontal="right" vertical="center"/>
      <protection locked="0"/>
    </xf>
    <xf numFmtId="0" fontId="19" fillId="0" borderId="0" xfId="0" applyFont="1" applyAlignment="1" applyProtection="1">
      <alignment horizontal="left" vertical="top" wrapText="1"/>
      <protection locked="0"/>
    </xf>
    <xf numFmtId="0" fontId="33" fillId="0" borderId="0" xfId="0" applyFont="1">
      <alignment vertical="center"/>
    </xf>
    <xf numFmtId="0" fontId="34" fillId="0" borderId="32" xfId="0" applyFont="1" applyBorder="1" applyAlignment="1">
      <alignment horizontal="center" vertical="center"/>
    </xf>
    <xf numFmtId="0" fontId="34" fillId="0" borderId="33" xfId="0" applyFont="1" applyBorder="1" applyAlignment="1">
      <alignment horizontal="center" vertical="center"/>
    </xf>
    <xf numFmtId="0" fontId="30" fillId="0" borderId="0" xfId="0" applyFont="1" applyAlignment="1" applyProtection="1">
      <alignment vertical="center" wrapText="1"/>
      <protection locked="0"/>
    </xf>
    <xf numFmtId="0" fontId="23" fillId="0" borderId="20" xfId="0" applyFont="1" applyBorder="1" applyProtection="1">
      <alignment vertical="center"/>
      <protection locked="0"/>
    </xf>
    <xf numFmtId="0" fontId="37" fillId="0" borderId="0" xfId="0" applyFont="1" applyAlignment="1" applyProtection="1">
      <alignment vertical="center" wrapText="1"/>
      <protection locked="0"/>
    </xf>
    <xf numFmtId="0" fontId="19" fillId="0" borderId="20" xfId="0" applyFont="1" applyBorder="1" applyAlignment="1" applyProtection="1">
      <alignment horizontal="left" vertical="top" wrapText="1"/>
      <protection locked="0"/>
    </xf>
    <xf numFmtId="0" fontId="17" fillId="0" borderId="20" xfId="0" applyFont="1" applyBorder="1" applyAlignment="1" applyProtection="1">
      <alignment horizontal="left" vertical="top" wrapText="1"/>
      <protection locked="0"/>
    </xf>
    <xf numFmtId="177" fontId="29" fillId="0" borderId="5" xfId="0" applyNumberFormat="1" applyFont="1" applyBorder="1" applyAlignment="1" applyProtection="1">
      <alignment horizontal="left" vertical="center"/>
      <protection locked="0"/>
    </xf>
    <xf numFmtId="177" fontId="41" fillId="0" borderId="0" xfId="0" applyNumberFormat="1" applyFont="1" applyAlignment="1" applyProtection="1">
      <alignment horizontal="left" vertical="center"/>
      <protection locked="0"/>
    </xf>
    <xf numFmtId="0" fontId="40" fillId="0" borderId="0" xfId="0" applyFont="1" applyAlignment="1" applyProtection="1">
      <alignment horizontal="left" vertical="top" wrapText="1"/>
      <protection locked="0"/>
    </xf>
    <xf numFmtId="0" fontId="42" fillId="0" borderId="0" xfId="0" applyFont="1" applyAlignment="1" applyProtection="1">
      <alignment horizontal="center" vertical="center" shrinkToFit="1"/>
      <protection locked="0"/>
    </xf>
    <xf numFmtId="0" fontId="43" fillId="0" borderId="0" xfId="0" applyFont="1" applyAlignment="1" applyProtection="1">
      <alignment horizontal="center" vertical="center" shrinkToFit="1"/>
      <protection locked="0"/>
    </xf>
    <xf numFmtId="177" fontId="29" fillId="0" borderId="11" xfId="0" applyNumberFormat="1" applyFont="1" applyBorder="1" applyAlignment="1" applyProtection="1">
      <alignment horizontal="left" vertical="center"/>
      <protection locked="0"/>
    </xf>
    <xf numFmtId="0" fontId="44" fillId="0" borderId="0" xfId="0" applyFont="1">
      <alignment vertical="center"/>
    </xf>
    <xf numFmtId="0" fontId="42" fillId="0" borderId="12" xfId="0" applyFont="1" applyBorder="1" applyAlignment="1" applyProtection="1">
      <alignment horizontal="center" vertical="center"/>
      <protection locked="0"/>
    </xf>
    <xf numFmtId="0" fontId="45" fillId="0" borderId="0" xfId="0" applyFont="1" applyProtection="1">
      <alignment vertical="center"/>
      <protection locked="0"/>
    </xf>
    <xf numFmtId="177" fontId="30" fillId="0" borderId="0" xfId="0" applyNumberFormat="1" applyFont="1" applyProtection="1">
      <alignment vertical="center"/>
      <protection locked="0"/>
    </xf>
    <xf numFmtId="0" fontId="40" fillId="0" borderId="0" xfId="0" applyFont="1" applyAlignment="1" applyProtection="1">
      <alignment horizontal="left" vertical="top"/>
      <protection locked="0"/>
    </xf>
    <xf numFmtId="0" fontId="30" fillId="0" borderId="11" xfId="0" applyFont="1" applyBorder="1" applyAlignment="1">
      <alignment horizontal="center" vertical="center"/>
    </xf>
    <xf numFmtId="0" fontId="36" fillId="0" borderId="0" xfId="0" applyFont="1" applyAlignment="1" applyProtection="1">
      <alignment horizontal="left" vertical="top" wrapText="1"/>
      <protection locked="0"/>
    </xf>
    <xf numFmtId="0" fontId="36" fillId="0" borderId="0" xfId="0" applyFont="1" applyAlignment="1" applyProtection="1">
      <alignment horizontal="left" vertical="top"/>
      <protection locked="0"/>
    </xf>
    <xf numFmtId="0" fontId="28" fillId="0" borderId="0" xfId="0" applyFont="1" applyAlignment="1" applyProtection="1">
      <alignment horizontal="left" vertical="top" wrapText="1"/>
      <protection locked="0"/>
    </xf>
    <xf numFmtId="0" fontId="30" fillId="0" borderId="0" xfId="0" applyFont="1">
      <alignment vertical="center"/>
    </xf>
    <xf numFmtId="0" fontId="31" fillId="0" borderId="0" xfId="0" applyFont="1" applyProtection="1">
      <alignment vertical="center"/>
      <protection locked="0"/>
    </xf>
    <xf numFmtId="0" fontId="38" fillId="0" borderId="0" xfId="0" applyFont="1" applyAlignment="1" applyProtection="1">
      <alignment horizontal="left" vertical="top" wrapText="1"/>
      <protection locked="0"/>
    </xf>
    <xf numFmtId="0" fontId="30" fillId="0" borderId="0" xfId="0" applyFont="1" applyAlignment="1" applyProtection="1">
      <alignment horizontal="center" vertical="center" shrinkToFit="1"/>
      <protection locked="0"/>
    </xf>
    <xf numFmtId="0" fontId="46" fillId="0" borderId="0" xfId="0" applyFont="1" applyProtection="1">
      <alignment vertical="center"/>
      <protection locked="0"/>
    </xf>
    <xf numFmtId="0" fontId="31" fillId="0" borderId="0" xfId="0" applyFont="1" applyAlignment="1" applyProtection="1">
      <alignment horizontal="left" vertical="center"/>
      <protection locked="0"/>
    </xf>
    <xf numFmtId="0" fontId="31" fillId="0" borderId="12" xfId="0" applyFont="1" applyBorder="1" applyProtection="1">
      <alignment vertical="center"/>
      <protection locked="0"/>
    </xf>
    <xf numFmtId="0" fontId="31" fillId="0" borderId="20" xfId="0" applyFont="1" applyBorder="1" applyProtection="1">
      <alignment vertical="center"/>
      <protection locked="0"/>
    </xf>
    <xf numFmtId="0" fontId="15" fillId="0" borderId="20" xfId="0" applyFont="1" applyBorder="1" applyAlignment="1" applyProtection="1">
      <alignment horizontal="center" vertical="center" shrinkToFit="1"/>
      <protection locked="0"/>
    </xf>
    <xf numFmtId="0" fontId="16" fillId="0" borderId="20" xfId="0" applyFont="1" applyBorder="1" applyAlignment="1" applyProtection="1">
      <alignment horizontal="center" vertical="center" shrinkToFit="1"/>
      <protection locked="0"/>
    </xf>
    <xf numFmtId="0" fontId="47" fillId="0" borderId="20" xfId="0" applyFont="1" applyBorder="1">
      <alignment vertical="center"/>
    </xf>
    <xf numFmtId="0" fontId="55" fillId="0" borderId="0" xfId="0" applyFont="1">
      <alignment vertical="center"/>
    </xf>
    <xf numFmtId="0" fontId="55" fillId="2" borderId="0" xfId="0" applyFont="1" applyFill="1">
      <alignment vertical="center"/>
    </xf>
    <xf numFmtId="0" fontId="55" fillId="0" borderId="0" xfId="0" applyFont="1" applyAlignment="1">
      <alignment vertical="center" shrinkToFit="1"/>
    </xf>
    <xf numFmtId="0" fontId="55" fillId="0" borderId="0" xfId="0" applyFont="1" applyAlignment="1">
      <alignment horizontal="right" vertical="center"/>
    </xf>
    <xf numFmtId="179" fontId="55" fillId="0" borderId="0" xfId="0" applyNumberFormat="1" applyFont="1" applyAlignment="1">
      <alignment horizontal="left" vertical="center"/>
    </xf>
    <xf numFmtId="0" fontId="55" fillId="0" borderId="0" xfId="0" applyFont="1" applyAlignment="1">
      <alignment vertical="top"/>
    </xf>
    <xf numFmtId="15" fontId="55" fillId="0" borderId="0" xfId="0" applyNumberFormat="1" applyFont="1" applyAlignment="1">
      <alignment vertical="center" shrinkToFit="1"/>
    </xf>
    <xf numFmtId="180" fontId="55" fillId="0" borderId="0" xfId="0" applyNumberFormat="1" applyFont="1" applyAlignment="1">
      <alignment vertical="center" shrinkToFit="1"/>
    </xf>
    <xf numFmtId="20" fontId="55" fillId="0" borderId="0" xfId="0" applyNumberFormat="1" applyFont="1" applyAlignment="1">
      <alignment horizontal="center" vertical="center" shrinkToFit="1"/>
    </xf>
    <xf numFmtId="0" fontId="55" fillId="0" borderId="0" xfId="2" applyFont="1" applyAlignment="1">
      <alignment horizontal="center" vertical="center" shrinkToFit="1"/>
    </xf>
    <xf numFmtId="0" fontId="56" fillId="0" borderId="0" xfId="2" applyFont="1">
      <alignment vertical="center"/>
    </xf>
    <xf numFmtId="181" fontId="55" fillId="2" borderId="2" xfId="0" applyNumberFormat="1" applyFont="1" applyFill="1" applyBorder="1">
      <alignment vertical="center"/>
    </xf>
    <xf numFmtId="0" fontId="55" fillId="2" borderId="1" xfId="0" applyFont="1" applyFill="1" applyBorder="1" applyAlignment="1">
      <alignment vertical="center" shrinkToFit="1"/>
    </xf>
    <xf numFmtId="20" fontId="55" fillId="0" borderId="2" xfId="2" applyNumberFormat="1" applyFont="1" applyBorder="1" applyAlignment="1">
      <alignment horizontal="center" vertical="center"/>
    </xf>
    <xf numFmtId="20" fontId="55" fillId="0" borderId="3" xfId="2" applyNumberFormat="1" applyFont="1" applyBorder="1" applyAlignment="1">
      <alignment horizontal="center" vertical="center"/>
    </xf>
    <xf numFmtId="20" fontId="55" fillId="0" borderId="4" xfId="2" applyNumberFormat="1" applyFont="1" applyBorder="1" applyAlignment="1">
      <alignment horizontal="center" vertical="center"/>
    </xf>
    <xf numFmtId="0" fontId="55" fillId="0" borderId="1" xfId="2" applyFont="1" applyBorder="1" applyAlignment="1">
      <alignment vertical="center" shrinkToFit="1"/>
    </xf>
    <xf numFmtId="0" fontId="55" fillId="0" borderId="0" xfId="2" applyFont="1">
      <alignment vertical="center"/>
    </xf>
    <xf numFmtId="0" fontId="55" fillId="0" borderId="25" xfId="5" applyFont="1" applyBorder="1" applyAlignment="1">
      <alignment vertical="center" shrinkToFit="1"/>
    </xf>
    <xf numFmtId="0" fontId="55" fillId="0" borderId="0" xfId="5" applyFont="1">
      <alignment vertical="center"/>
    </xf>
    <xf numFmtId="0" fontId="58" fillId="0" borderId="21" xfId="5" applyFont="1" applyBorder="1" applyAlignment="1">
      <alignment horizontal="left" vertical="center" wrapText="1"/>
    </xf>
    <xf numFmtId="0" fontId="55" fillId="0" borderId="29" xfId="5" applyFont="1" applyBorder="1" applyAlignment="1">
      <alignment vertical="center" shrinkToFit="1"/>
    </xf>
    <xf numFmtId="0" fontId="55" fillId="0" borderId="1" xfId="5" applyFont="1" applyBorder="1" applyAlignment="1">
      <alignment vertical="center" shrinkToFit="1"/>
    </xf>
    <xf numFmtId="0" fontId="59" fillId="0" borderId="0" xfId="5" applyFont="1">
      <alignment vertical="center"/>
    </xf>
    <xf numFmtId="0" fontId="55" fillId="0" borderId="27" xfId="5" applyFont="1" applyBorder="1" applyAlignment="1">
      <alignment vertical="center" shrinkToFit="1"/>
    </xf>
    <xf numFmtId="0" fontId="55" fillId="0" borderId="25" xfId="2" applyFont="1" applyBorder="1" applyAlignment="1">
      <alignment vertical="center" shrinkToFit="1"/>
    </xf>
    <xf numFmtId="20" fontId="55" fillId="0" borderId="19" xfId="3" applyNumberFormat="1" applyFont="1" applyBorder="1" applyAlignment="1">
      <alignment horizontal="center" vertical="center"/>
    </xf>
    <xf numFmtId="0" fontId="55" fillId="0" borderId="20" xfId="3" applyFont="1" applyBorder="1" applyAlignment="1">
      <alignment horizontal="center" vertical="center"/>
    </xf>
    <xf numFmtId="0" fontId="55" fillId="0" borderId="21" xfId="3" applyFont="1" applyBorder="1" applyAlignment="1">
      <alignment horizontal="center" vertical="center"/>
    </xf>
    <xf numFmtId="0" fontId="55" fillId="0" borderId="19" xfId="3" applyFont="1" applyBorder="1">
      <alignment vertical="center"/>
    </xf>
    <xf numFmtId="0" fontId="55" fillId="0" borderId="20" xfId="3" applyFont="1" applyBorder="1">
      <alignment vertical="center"/>
    </xf>
    <xf numFmtId="0" fontId="58" fillId="3" borderId="20" xfId="1" applyFont="1" applyFill="1" applyBorder="1" applyAlignment="1">
      <alignment horizontal="right" vertical="center"/>
    </xf>
    <xf numFmtId="0" fontId="55" fillId="0" borderId="21" xfId="3" applyFont="1" applyBorder="1">
      <alignment vertical="center"/>
    </xf>
    <xf numFmtId="0" fontId="55" fillId="0" borderId="29" xfId="3" applyFont="1" applyBorder="1" applyAlignment="1">
      <alignment vertical="center" shrinkToFit="1"/>
    </xf>
    <xf numFmtId="0" fontId="55" fillId="0" borderId="0" xfId="3" applyFont="1">
      <alignment vertical="center"/>
    </xf>
    <xf numFmtId="0" fontId="58" fillId="3" borderId="4" xfId="2" applyFont="1" applyFill="1" applyBorder="1" applyAlignment="1">
      <alignment horizontal="right" vertical="center"/>
    </xf>
    <xf numFmtId="181" fontId="55" fillId="2" borderId="2" xfId="2" applyNumberFormat="1" applyFont="1" applyFill="1" applyBorder="1">
      <alignment vertical="center"/>
    </xf>
    <xf numFmtId="0" fontId="55" fillId="2" borderId="1" xfId="2" applyFont="1" applyFill="1" applyBorder="1" applyAlignment="1">
      <alignment vertical="center" shrinkToFit="1"/>
    </xf>
    <xf numFmtId="0" fontId="55" fillId="0" borderId="3" xfId="2" applyFont="1" applyBorder="1">
      <alignment vertical="center"/>
    </xf>
    <xf numFmtId="0" fontId="55" fillId="0" borderId="3" xfId="2" applyFont="1" applyBorder="1" applyAlignment="1">
      <alignment horizontal="left" vertical="center" wrapText="1"/>
    </xf>
    <xf numFmtId="0" fontId="55" fillId="0" borderId="4" xfId="2" applyFont="1" applyBorder="1" applyAlignment="1">
      <alignment horizontal="left" vertical="center" wrapText="1"/>
    </xf>
    <xf numFmtId="0" fontId="60" fillId="0" borderId="0" xfId="2" applyFont="1">
      <alignment vertical="center"/>
    </xf>
    <xf numFmtId="0" fontId="55" fillId="0" borderId="2" xfId="2" applyFont="1" applyBorder="1">
      <alignment vertical="center"/>
    </xf>
    <xf numFmtId="0" fontId="58" fillId="0" borderId="6" xfId="6" applyFont="1" applyBorder="1" applyAlignment="1">
      <alignment vertical="center" shrinkToFit="1"/>
    </xf>
    <xf numFmtId="0" fontId="58" fillId="0" borderId="7" xfId="6" applyFont="1" applyBorder="1" applyAlignment="1">
      <alignment vertical="center" shrinkToFit="1"/>
    </xf>
    <xf numFmtId="0" fontId="58" fillId="0" borderId="20" xfId="1" applyFont="1" applyBorder="1" applyAlignment="1">
      <alignment horizontal="right" vertical="center"/>
    </xf>
    <xf numFmtId="0" fontId="55" fillId="0" borderId="4" xfId="2" applyFont="1" applyBorder="1">
      <alignment vertical="center"/>
    </xf>
    <xf numFmtId="0" fontId="55" fillId="0" borderId="1" xfId="2" applyFont="1" applyBorder="1">
      <alignment vertical="center"/>
    </xf>
    <xf numFmtId="0" fontId="55" fillId="0" borderId="1" xfId="3" applyFont="1" applyBorder="1" applyAlignment="1">
      <alignment vertical="center" shrinkToFit="1"/>
    </xf>
    <xf numFmtId="0" fontId="59" fillId="0" borderId="0" xfId="2" applyFont="1">
      <alignment vertical="center"/>
    </xf>
    <xf numFmtId="0" fontId="58" fillId="3" borderId="3" xfId="1" applyFont="1" applyFill="1" applyBorder="1" applyAlignment="1">
      <alignment horizontal="right" vertical="center"/>
    </xf>
    <xf numFmtId="0" fontId="55" fillId="0" borderId="19" xfId="2" applyFont="1" applyBorder="1" applyAlignment="1">
      <alignment horizontal="center" vertical="center"/>
    </xf>
    <xf numFmtId="0" fontId="55" fillId="0" borderId="20" xfId="2" applyFont="1" applyBorder="1" applyAlignment="1">
      <alignment horizontal="center" vertical="center"/>
    </xf>
    <xf numFmtId="0" fontId="55" fillId="0" borderId="21" xfId="2" applyFont="1" applyBorder="1" applyAlignment="1">
      <alignment horizontal="center" vertical="center"/>
    </xf>
    <xf numFmtId="0" fontId="58" fillId="0" borderId="19" xfId="2" applyFont="1" applyBorder="1">
      <alignment vertical="center"/>
    </xf>
    <xf numFmtId="0" fontId="58" fillId="0" borderId="20" xfId="2" applyFont="1" applyBorder="1">
      <alignment vertical="center"/>
    </xf>
    <xf numFmtId="0" fontId="55" fillId="0" borderId="29" xfId="2" applyFont="1" applyBorder="1" applyAlignment="1">
      <alignment vertical="center" shrinkToFit="1"/>
    </xf>
    <xf numFmtId="20" fontId="55" fillId="0" borderId="19" xfId="2" applyNumberFormat="1" applyFont="1" applyBorder="1" applyAlignment="1">
      <alignment horizontal="center" vertical="center"/>
    </xf>
    <xf numFmtId="0" fontId="55" fillId="0" borderId="25" xfId="3" applyFont="1" applyBorder="1" applyAlignment="1">
      <alignment vertical="center" shrinkToFit="1"/>
    </xf>
    <xf numFmtId="181" fontId="55" fillId="2" borderId="2" xfId="2" applyNumberFormat="1" applyFont="1" applyFill="1" applyBorder="1" applyAlignment="1">
      <alignment vertical="center" shrinkToFit="1"/>
    </xf>
    <xf numFmtId="0" fontId="55" fillId="3" borderId="2" xfId="2" applyFont="1" applyFill="1" applyBorder="1">
      <alignment vertical="center"/>
    </xf>
    <xf numFmtId="0" fontId="55" fillId="3" borderId="3" xfId="2" applyFont="1" applyFill="1" applyBorder="1">
      <alignment vertical="center"/>
    </xf>
    <xf numFmtId="0" fontId="55" fillId="3" borderId="3" xfId="0" applyFont="1" applyFill="1" applyBorder="1" applyAlignment="1">
      <alignment horizontal="right" vertical="center"/>
    </xf>
    <xf numFmtId="0" fontId="56" fillId="0" borderId="0" xfId="2" applyFont="1" applyAlignment="1">
      <alignment horizontal="justify" vertical="center" wrapText="1"/>
    </xf>
    <xf numFmtId="0" fontId="55" fillId="0" borderId="0" xfId="2" applyFont="1" applyAlignment="1">
      <alignment vertical="center" shrinkToFit="1"/>
    </xf>
    <xf numFmtId="0" fontId="55" fillId="5" borderId="0" xfId="1" applyFont="1" applyFill="1">
      <alignment vertical="center"/>
    </xf>
    <xf numFmtId="0" fontId="56" fillId="5" borderId="0" xfId="1" applyFont="1" applyFill="1" applyAlignment="1">
      <alignment horizontal="justify" vertical="center" wrapText="1"/>
    </xf>
    <xf numFmtId="0" fontId="55" fillId="5" borderId="0" xfId="1" applyFont="1" applyFill="1" applyAlignment="1">
      <alignment horizontal="center" vertical="center" shrinkToFit="1"/>
    </xf>
    <xf numFmtId="0" fontId="63" fillId="0" borderId="0" xfId="2" applyFont="1">
      <alignment vertical="center"/>
    </xf>
    <xf numFmtId="0" fontId="55" fillId="0" borderId="20" xfId="1" applyFont="1" applyBorder="1" applyAlignment="1">
      <alignment horizontal="right" vertical="center"/>
    </xf>
    <xf numFmtId="0" fontId="30" fillId="0" borderId="12" xfId="0" applyFont="1" applyBorder="1">
      <alignment vertical="center"/>
    </xf>
    <xf numFmtId="0" fontId="55" fillId="3" borderId="4" xfId="5" applyFont="1" applyFill="1" applyBorder="1" applyAlignment="1">
      <alignment horizontal="left" vertical="center" wrapText="1"/>
    </xf>
    <xf numFmtId="177" fontId="31" fillId="0" borderId="0" xfId="0" applyNumberFormat="1" applyFont="1" applyProtection="1">
      <alignment vertical="center"/>
      <protection locked="0"/>
    </xf>
    <xf numFmtId="0" fontId="36" fillId="0" borderId="0" xfId="0" applyFont="1" applyProtection="1">
      <alignment vertical="center"/>
      <protection locked="0"/>
    </xf>
    <xf numFmtId="0" fontId="65" fillId="0" borderId="0" xfId="0" applyFont="1">
      <alignment vertical="center"/>
    </xf>
    <xf numFmtId="0" fontId="45" fillId="0" borderId="0" xfId="0" applyFont="1" applyAlignment="1" applyProtection="1">
      <alignment horizontal="center" vertical="center" shrinkToFit="1"/>
      <protection locked="0"/>
    </xf>
    <xf numFmtId="0" fontId="66" fillId="0" borderId="0" xfId="0" applyFont="1" applyAlignment="1" applyProtection="1">
      <alignment horizontal="center" vertical="center" shrinkToFit="1"/>
      <protection locked="0"/>
    </xf>
    <xf numFmtId="0" fontId="55" fillId="6" borderId="0" xfId="2" applyFont="1" applyFill="1">
      <alignment vertical="center"/>
    </xf>
    <xf numFmtId="0" fontId="55" fillId="6" borderId="1" xfId="2" applyFont="1" applyFill="1" applyBorder="1" applyAlignment="1">
      <alignment vertical="center" shrinkToFit="1"/>
    </xf>
    <xf numFmtId="0" fontId="44" fillId="0" borderId="0" xfId="0" applyFont="1" applyAlignment="1">
      <alignment horizontal="left" vertical="center"/>
    </xf>
    <xf numFmtId="0" fontId="73" fillId="0" borderId="0" xfId="0" applyFont="1" applyAlignment="1">
      <alignment vertical="center" shrinkToFit="1"/>
    </xf>
    <xf numFmtId="0" fontId="55" fillId="0" borderId="3" xfId="0" applyFont="1" applyBorder="1">
      <alignment vertical="center"/>
    </xf>
    <xf numFmtId="0" fontId="31" fillId="0" borderId="0" xfId="0" applyFont="1" applyAlignment="1" applyProtection="1">
      <alignment horizontal="left" vertical="top"/>
      <protection locked="0"/>
    </xf>
    <xf numFmtId="0" fontId="75" fillId="0" borderId="0" xfId="0" applyFont="1" applyAlignment="1">
      <alignment horizontal="left" vertical="center"/>
    </xf>
    <xf numFmtId="0" fontId="29" fillId="0" borderId="0" xfId="0" applyFont="1">
      <alignment vertical="center"/>
    </xf>
    <xf numFmtId="0" fontId="61" fillId="0" borderId="19" xfId="3" applyFont="1" applyBorder="1">
      <alignment vertical="center"/>
    </xf>
    <xf numFmtId="0" fontId="76" fillId="0" borderId="20" xfId="3" applyFont="1" applyBorder="1">
      <alignment vertical="center"/>
    </xf>
    <xf numFmtId="0" fontId="76" fillId="0" borderId="20" xfId="1" applyFont="1" applyBorder="1" applyAlignment="1">
      <alignment horizontal="right" vertical="center"/>
    </xf>
    <xf numFmtId="0" fontId="61" fillId="0" borderId="0" xfId="0" applyFont="1">
      <alignment vertical="center"/>
    </xf>
    <xf numFmtId="0" fontId="30" fillId="0" borderId="11" xfId="0" applyFont="1" applyBorder="1">
      <alignment vertical="center"/>
    </xf>
    <xf numFmtId="177" fontId="30" fillId="0" borderId="11" xfId="0" applyNumberFormat="1" applyFont="1" applyBorder="1" applyAlignment="1" applyProtection="1">
      <alignment horizontal="left" vertical="center"/>
      <protection locked="0"/>
    </xf>
    <xf numFmtId="0" fontId="30" fillId="0" borderId="0" xfId="0" applyFont="1" applyAlignment="1" applyProtection="1">
      <alignment horizontal="left" vertical="top"/>
      <protection locked="0"/>
    </xf>
    <xf numFmtId="0" fontId="21" fillId="0" borderId="0" xfId="0" applyFont="1" applyAlignment="1" applyProtection="1">
      <alignment horizontal="center" vertical="center" wrapText="1"/>
      <protection locked="0"/>
    </xf>
    <xf numFmtId="0" fontId="40" fillId="0" borderId="0" xfId="0" applyFont="1" applyAlignment="1" applyProtection="1">
      <alignment horizontal="left" vertical="center"/>
      <protection locked="0"/>
    </xf>
    <xf numFmtId="20" fontId="31" fillId="0" borderId="0" xfId="0" applyNumberFormat="1" applyFont="1" applyAlignment="1" applyProtection="1">
      <alignment horizontal="center" vertical="center"/>
      <protection locked="0"/>
    </xf>
    <xf numFmtId="0" fontId="75" fillId="0" borderId="0" xfId="0" applyFont="1">
      <alignment vertical="center"/>
    </xf>
    <xf numFmtId="0" fontId="40" fillId="0" borderId="0" xfId="0" applyFont="1" applyAlignment="1" applyProtection="1">
      <alignment horizontal="right" vertical="center"/>
      <protection locked="0"/>
    </xf>
    <xf numFmtId="177" fontId="29" fillId="0" borderId="19" xfId="0" applyNumberFormat="1" applyFont="1" applyBorder="1" applyAlignment="1" applyProtection="1">
      <alignment horizontal="left" vertical="center"/>
      <protection locked="0"/>
    </xf>
    <xf numFmtId="0" fontId="55" fillId="0" borderId="21" xfId="7" applyFont="1" applyBorder="1">
      <alignment vertical="center"/>
    </xf>
    <xf numFmtId="177" fontId="89" fillId="0" borderId="5" xfId="0" applyNumberFormat="1" applyFont="1" applyBorder="1" applyAlignment="1" applyProtection="1">
      <alignment horizontal="left" vertical="center"/>
      <protection locked="0"/>
    </xf>
    <xf numFmtId="177" fontId="89" fillId="0" borderId="11" xfId="0" applyNumberFormat="1" applyFont="1" applyBorder="1" applyAlignment="1" applyProtection="1">
      <alignment horizontal="left" vertical="center"/>
      <protection locked="0"/>
    </xf>
    <xf numFmtId="177" fontId="89" fillId="0" borderId="19" xfId="0" applyNumberFormat="1" applyFont="1" applyBorder="1" applyAlignment="1" applyProtection="1">
      <alignment horizontal="left" vertical="center"/>
      <protection locked="0"/>
    </xf>
    <xf numFmtId="0" fontId="2" fillId="0" borderId="2" xfId="0" applyFont="1" applyBorder="1" applyAlignment="1" applyProtection="1">
      <alignment horizontal="center" vertical="center"/>
      <protection locked="0"/>
    </xf>
    <xf numFmtId="0" fontId="2" fillId="0" borderId="3" xfId="0" applyFont="1" applyBorder="1" applyAlignment="1" applyProtection="1">
      <alignment horizontal="center" vertical="center"/>
      <protection locked="0"/>
    </xf>
    <xf numFmtId="0" fontId="2" fillId="0" borderId="4" xfId="0" applyFont="1" applyBorder="1" applyAlignment="1" applyProtection="1">
      <alignment horizontal="center" vertical="center"/>
      <protection locked="0"/>
    </xf>
    <xf numFmtId="0" fontId="5" fillId="0" borderId="2" xfId="0"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12" fillId="0" borderId="2" xfId="0" applyFont="1" applyBorder="1" applyAlignment="1" applyProtection="1">
      <alignment horizontal="center" vertical="center" shrinkToFit="1"/>
      <protection locked="0"/>
    </xf>
    <xf numFmtId="0" fontId="12" fillId="0" borderId="3" xfId="0" applyFont="1" applyBorder="1" applyAlignment="1" applyProtection="1">
      <alignment horizontal="center" vertical="center" shrinkToFit="1"/>
      <protection locked="0"/>
    </xf>
    <xf numFmtId="0" fontId="12" fillId="0" borderId="4" xfId="0" applyFont="1" applyBorder="1" applyAlignment="1" applyProtection="1">
      <alignment horizontal="center" vertical="center" shrinkToFit="1"/>
      <protection locked="0"/>
    </xf>
    <xf numFmtId="0" fontId="7" fillId="0" borderId="41" xfId="0" applyFont="1" applyBorder="1" applyAlignment="1" applyProtection="1">
      <alignment horizontal="center" vertical="center"/>
      <protection locked="0"/>
    </xf>
    <xf numFmtId="0" fontId="8" fillId="0" borderId="42" xfId="0" applyFont="1" applyBorder="1" applyAlignment="1" applyProtection="1">
      <alignment horizontal="center" vertical="center"/>
      <protection locked="0"/>
    </xf>
    <xf numFmtId="0" fontId="8" fillId="0" borderId="43" xfId="0" applyFont="1" applyBorder="1" applyAlignment="1" applyProtection="1">
      <alignment horizontal="center" vertical="center"/>
      <protection locked="0"/>
    </xf>
    <xf numFmtId="0" fontId="8" fillId="0" borderId="44" xfId="0" applyFont="1" applyBorder="1" applyAlignment="1" applyProtection="1">
      <alignment horizontal="center" vertical="center"/>
      <protection locked="0"/>
    </xf>
    <xf numFmtId="0" fontId="8" fillId="0" borderId="45" xfId="0" applyFont="1" applyBorder="1" applyAlignment="1" applyProtection="1">
      <alignment horizontal="center" vertical="center"/>
      <protection locked="0"/>
    </xf>
    <xf numFmtId="0" fontId="8" fillId="0" borderId="46" xfId="0" applyFont="1" applyBorder="1" applyAlignment="1" applyProtection="1">
      <alignment horizontal="center" vertical="center"/>
      <protection locked="0"/>
    </xf>
    <xf numFmtId="0" fontId="83" fillId="0" borderId="5" xfId="1" applyFont="1" applyBorder="1" applyAlignment="1" applyProtection="1">
      <alignment horizontal="center" vertical="center" wrapText="1"/>
      <protection locked="0"/>
    </xf>
    <xf numFmtId="0" fontId="10" fillId="0" borderId="6" xfId="1" applyFont="1" applyBorder="1" applyAlignment="1" applyProtection="1">
      <alignment horizontal="center" vertical="center" wrapText="1"/>
      <protection locked="0"/>
    </xf>
    <xf numFmtId="0" fontId="10" fillId="0" borderId="7" xfId="1" applyFont="1" applyBorder="1" applyAlignment="1" applyProtection="1">
      <alignment horizontal="center" vertical="center" wrapText="1"/>
      <protection locked="0"/>
    </xf>
    <xf numFmtId="0" fontId="10" fillId="0" borderId="11" xfId="1" applyFont="1" applyBorder="1" applyAlignment="1" applyProtection="1">
      <alignment horizontal="center" vertical="center" wrapText="1"/>
      <protection locked="0"/>
    </xf>
    <xf numFmtId="0" fontId="10" fillId="0" borderId="0" xfId="1" applyFont="1" applyAlignment="1" applyProtection="1">
      <alignment horizontal="center" vertical="center" wrapText="1"/>
      <protection locked="0"/>
    </xf>
    <xf numFmtId="0" fontId="10" fillId="0" borderId="12" xfId="1" applyFont="1" applyBorder="1" applyAlignment="1" applyProtection="1">
      <alignment horizontal="center" vertical="center" wrapText="1"/>
      <protection locked="0"/>
    </xf>
    <xf numFmtId="0" fontId="10" fillId="0" borderId="19" xfId="1" applyFont="1" applyBorder="1" applyAlignment="1" applyProtection="1">
      <alignment horizontal="center" vertical="center" wrapText="1"/>
      <protection locked="0"/>
    </xf>
    <xf numFmtId="0" fontId="10" fillId="0" borderId="20" xfId="1" applyFont="1" applyBorder="1" applyAlignment="1" applyProtection="1">
      <alignment horizontal="center" vertical="center" wrapText="1"/>
      <protection locked="0"/>
    </xf>
    <xf numFmtId="0" fontId="10" fillId="0" borderId="21" xfId="1" applyFont="1" applyBorder="1" applyAlignment="1" applyProtection="1">
      <alignment horizontal="center" vertical="center" wrapText="1"/>
      <protection locked="0"/>
    </xf>
    <xf numFmtId="0" fontId="2" fillId="0" borderId="5" xfId="0" applyFont="1" applyBorder="1" applyAlignment="1" applyProtection="1">
      <alignment horizontal="left" vertical="center"/>
      <protection locked="0"/>
    </xf>
    <xf numFmtId="0" fontId="2" fillId="0" borderId="11" xfId="0" applyFont="1" applyBorder="1" applyAlignment="1" applyProtection="1">
      <alignment horizontal="left" vertical="center"/>
      <protection locked="0"/>
    </xf>
    <xf numFmtId="0" fontId="2" fillId="0" borderId="19" xfId="0" applyFont="1" applyBorder="1" applyAlignment="1" applyProtection="1">
      <alignment horizontal="left" vertical="center"/>
      <protection locked="0"/>
    </xf>
    <xf numFmtId="14" fontId="22" fillId="0" borderId="6" xfId="0" applyNumberFormat="1" applyFont="1" applyBorder="1" applyAlignment="1" applyProtection="1">
      <alignment horizontal="left" vertical="center" shrinkToFit="1"/>
      <protection locked="0"/>
    </xf>
    <xf numFmtId="0" fontId="22" fillId="0" borderId="6" xfId="0" applyFont="1" applyBorder="1" applyAlignment="1" applyProtection="1">
      <alignment horizontal="left" vertical="center" shrinkToFit="1"/>
      <protection locked="0"/>
    </xf>
    <xf numFmtId="0" fontId="22" fillId="0" borderId="7" xfId="0" applyFont="1" applyBorder="1" applyAlignment="1" applyProtection="1">
      <alignment horizontal="left" vertical="center" shrinkToFit="1"/>
      <protection locked="0"/>
    </xf>
    <xf numFmtId="0" fontId="22" fillId="0" borderId="0" xfId="0" applyFont="1" applyAlignment="1" applyProtection="1">
      <alignment horizontal="left" vertical="center" shrinkToFit="1"/>
      <protection locked="0"/>
    </xf>
    <xf numFmtId="0" fontId="22" fillId="0" borderId="12" xfId="0" applyFont="1" applyBorder="1" applyAlignment="1" applyProtection="1">
      <alignment horizontal="left" vertical="center" shrinkToFit="1"/>
      <protection locked="0"/>
    </xf>
    <xf numFmtId="0" fontId="22" fillId="0" borderId="20" xfId="0" applyFont="1" applyBorder="1" applyAlignment="1" applyProtection="1">
      <alignment horizontal="left" vertical="center" shrinkToFit="1"/>
      <protection locked="0"/>
    </xf>
    <xf numFmtId="0" fontId="22" fillId="0" borderId="21" xfId="0" applyFont="1" applyBorder="1" applyAlignment="1" applyProtection="1">
      <alignment horizontal="left" vertical="center" shrinkToFit="1"/>
      <protection locked="0"/>
    </xf>
    <xf numFmtId="178" fontId="33" fillId="0" borderId="0" xfId="0" applyNumberFormat="1" applyFont="1" applyAlignment="1">
      <alignment horizontal="center" vertical="center"/>
    </xf>
    <xf numFmtId="0" fontId="33" fillId="0" borderId="0" xfId="0" applyFont="1">
      <alignment vertical="center"/>
    </xf>
    <xf numFmtId="0" fontId="2" fillId="0" borderId="2" xfId="0" applyFont="1" applyBorder="1" applyAlignment="1" applyProtection="1">
      <alignment horizontal="center" vertical="top"/>
      <protection locked="0"/>
    </xf>
    <xf numFmtId="0" fontId="2" fillId="0" borderId="4" xfId="0" applyFont="1" applyBorder="1" applyAlignment="1" applyProtection="1">
      <alignment horizontal="center" vertical="top"/>
      <protection locked="0"/>
    </xf>
    <xf numFmtId="0" fontId="2" fillId="0" borderId="29" xfId="0" applyFont="1" applyBorder="1" applyAlignment="1" applyProtection="1">
      <alignment horizontal="center" vertical="center"/>
      <protection locked="0"/>
    </xf>
    <xf numFmtId="0" fontId="8" fillId="0" borderId="29" xfId="0" applyFont="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0" fontId="8" fillId="0" borderId="2" xfId="0" applyFont="1" applyBorder="1" applyAlignment="1" applyProtection="1">
      <alignment horizontal="center" vertical="center"/>
      <protection locked="0"/>
    </xf>
    <xf numFmtId="0" fontId="2" fillId="0" borderId="2" xfId="0" applyFont="1" applyBorder="1" applyAlignment="1" applyProtection="1">
      <alignment horizontal="center" vertical="center" wrapText="1"/>
      <protection locked="0"/>
    </xf>
    <xf numFmtId="0" fontId="2" fillId="0" borderId="3" xfId="0" applyFont="1" applyBorder="1" applyAlignment="1" applyProtection="1">
      <alignment horizontal="center" vertical="center" wrapText="1"/>
      <protection locked="0"/>
    </xf>
    <xf numFmtId="0" fontId="2" fillId="0" borderId="4" xfId="0" applyFont="1" applyBorder="1" applyAlignment="1" applyProtection="1">
      <alignment horizontal="center" vertical="center" wrapText="1"/>
      <protection locked="0"/>
    </xf>
    <xf numFmtId="0" fontId="2" fillId="0" borderId="3" xfId="0" applyFont="1" applyBorder="1" applyAlignment="1" applyProtection="1">
      <alignment horizontal="center" vertical="top"/>
      <protection locked="0"/>
    </xf>
    <xf numFmtId="0" fontId="39" fillId="0" borderId="8" xfId="0" applyFont="1" applyBorder="1" applyAlignment="1" applyProtection="1">
      <alignment horizontal="center" vertical="center"/>
      <protection locked="0"/>
    </xf>
    <xf numFmtId="0" fontId="11" fillId="0" borderId="9" xfId="0" applyFont="1" applyBorder="1" applyAlignment="1" applyProtection="1">
      <alignment horizontal="center" vertical="center"/>
      <protection locked="0"/>
    </xf>
    <xf numFmtId="0" fontId="11" fillId="0" borderId="10" xfId="0" applyFont="1" applyBorder="1" applyAlignment="1" applyProtection="1">
      <alignment horizontal="center" vertical="center"/>
      <protection locked="0"/>
    </xf>
    <xf numFmtId="0" fontId="11" fillId="0" borderId="13" xfId="0" applyFont="1" applyBorder="1" applyAlignment="1" applyProtection="1">
      <alignment horizontal="center" vertical="center"/>
      <protection locked="0"/>
    </xf>
    <xf numFmtId="0" fontId="11" fillId="0" borderId="14" xfId="0" applyFont="1" applyBorder="1" applyAlignment="1" applyProtection="1">
      <alignment horizontal="center" vertical="center"/>
      <protection locked="0"/>
    </xf>
    <xf numFmtId="0" fontId="11" fillId="0" borderId="15" xfId="0" applyFont="1" applyBorder="1" applyAlignment="1" applyProtection="1">
      <alignment horizontal="center" vertical="center"/>
      <protection locked="0"/>
    </xf>
    <xf numFmtId="0" fontId="11" fillId="0" borderId="51" xfId="0" applyFont="1" applyBorder="1" applyAlignment="1" applyProtection="1">
      <alignment horizontal="center" vertical="center"/>
      <protection locked="0"/>
    </xf>
    <xf numFmtId="0" fontId="11" fillId="0" borderId="52" xfId="0" applyFont="1" applyBorder="1" applyAlignment="1" applyProtection="1">
      <alignment horizontal="center" vertical="center"/>
      <protection locked="0"/>
    </xf>
    <xf numFmtId="0" fontId="11" fillId="0" borderId="5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2" fillId="0" borderId="49" xfId="0" applyFont="1" applyBorder="1" applyAlignment="1" applyProtection="1">
      <alignment horizontal="center" vertical="center"/>
      <protection locked="0"/>
    </xf>
    <xf numFmtId="0" fontId="11" fillId="0" borderId="16" xfId="0" applyFont="1" applyBorder="1" applyAlignment="1" applyProtection="1">
      <alignment horizontal="center" vertical="center"/>
      <protection locked="0"/>
    </xf>
    <xf numFmtId="0" fontId="11" fillId="0" borderId="17" xfId="0" applyFont="1" applyBorder="1" applyAlignment="1" applyProtection="1">
      <alignment horizontal="center" vertical="center"/>
      <protection locked="0"/>
    </xf>
    <xf numFmtId="0" fontId="11" fillId="0" borderId="18" xfId="0" applyFont="1" applyBorder="1" applyAlignment="1" applyProtection="1">
      <alignment horizontal="center" vertical="center"/>
      <protection locked="0"/>
    </xf>
    <xf numFmtId="0" fontId="11" fillId="0" borderId="22" xfId="0" applyFont="1" applyBorder="1" applyAlignment="1" applyProtection="1">
      <alignment horizontal="center" vertical="center"/>
      <protection locked="0"/>
    </xf>
    <xf numFmtId="0" fontId="11" fillId="0" borderId="23" xfId="0" applyFont="1" applyBorder="1" applyAlignment="1" applyProtection="1">
      <alignment horizontal="center" vertical="center"/>
      <protection locked="0"/>
    </xf>
    <xf numFmtId="0" fontId="11" fillId="0" borderId="24" xfId="0" applyFont="1" applyBorder="1" applyAlignment="1" applyProtection="1">
      <alignment horizontal="center" vertical="center"/>
      <protection locked="0"/>
    </xf>
    <xf numFmtId="0" fontId="33" fillId="0" borderId="0" xfId="0" applyFont="1" applyAlignment="1">
      <alignment horizontal="center" vertical="center"/>
    </xf>
    <xf numFmtId="0" fontId="33" fillId="0" borderId="31" xfId="0" applyFont="1" applyBorder="1" applyAlignment="1">
      <alignment horizontal="center" vertical="center"/>
    </xf>
    <xf numFmtId="0" fontId="35" fillId="0" borderId="33" xfId="0" applyFont="1" applyBorder="1" applyAlignment="1">
      <alignment horizontal="center" vertical="center" shrinkToFit="1"/>
    </xf>
    <xf numFmtId="178" fontId="35" fillId="0" borderId="33" xfId="0" applyNumberFormat="1" applyFont="1" applyBorder="1" applyAlignment="1">
      <alignment horizontal="center" vertical="center"/>
    </xf>
    <xf numFmtId="0" fontId="13" fillId="0" borderId="44" xfId="0" applyFont="1" applyBorder="1" applyAlignment="1" applyProtection="1">
      <alignment horizontal="left" vertical="center"/>
      <protection locked="0"/>
    </xf>
    <xf numFmtId="0" fontId="13" fillId="0" borderId="45" xfId="0" applyFont="1" applyBorder="1" applyAlignment="1" applyProtection="1">
      <alignment horizontal="left" vertical="center"/>
      <protection locked="0"/>
    </xf>
    <xf numFmtId="0" fontId="13" fillId="0" borderId="46" xfId="0" applyFont="1" applyBorder="1" applyAlignment="1" applyProtection="1">
      <alignment horizontal="left" vertical="center"/>
      <protection locked="0"/>
    </xf>
    <xf numFmtId="20" fontId="2" fillId="0" borderId="44" xfId="0" applyNumberFormat="1" applyFont="1" applyBorder="1" applyAlignment="1" applyProtection="1">
      <alignment horizontal="center" vertical="center"/>
      <protection locked="0"/>
    </xf>
    <xf numFmtId="0" fontId="2" fillId="0" borderId="46" xfId="0" applyFont="1" applyBorder="1" applyAlignment="1" applyProtection="1">
      <alignment horizontal="center" vertical="center"/>
      <protection locked="0"/>
    </xf>
    <xf numFmtId="0" fontId="2" fillId="0" borderId="44" xfId="0" applyFont="1" applyBorder="1" applyAlignment="1" applyProtection="1">
      <alignment horizontal="center" vertical="center"/>
      <protection locked="0"/>
    </xf>
    <xf numFmtId="0" fontId="8" fillId="0" borderId="54" xfId="0" applyFont="1" applyBorder="1" applyAlignment="1" applyProtection="1">
      <alignment horizontal="center" vertical="center"/>
      <protection locked="0"/>
    </xf>
    <xf numFmtId="0" fontId="35" fillId="0" borderId="35" xfId="0" applyFont="1" applyBorder="1" applyAlignment="1">
      <alignment horizontal="center" vertical="center"/>
    </xf>
    <xf numFmtId="0" fontId="35" fillId="0" borderId="33" xfId="0" applyFont="1" applyBorder="1">
      <alignment vertical="center"/>
    </xf>
    <xf numFmtId="0" fontId="35" fillId="0" borderId="36" xfId="0" applyFont="1" applyBorder="1" applyAlignment="1">
      <alignment vertical="center" shrinkToFit="1"/>
    </xf>
    <xf numFmtId="0" fontId="35" fillId="0" borderId="37" xfId="0" applyFont="1" applyBorder="1" applyAlignment="1">
      <alignment vertical="center" shrinkToFit="1"/>
    </xf>
    <xf numFmtId="0" fontId="13" fillId="0" borderId="41" xfId="0" applyFont="1" applyBorder="1" applyAlignment="1" applyProtection="1">
      <alignment horizontal="left" vertical="center"/>
      <protection locked="0"/>
    </xf>
    <xf numFmtId="0" fontId="13" fillId="0" borderId="42" xfId="0" applyFont="1" applyBorder="1" applyAlignment="1" applyProtection="1">
      <alignment horizontal="left" vertical="center"/>
      <protection locked="0"/>
    </xf>
    <xf numFmtId="0" fontId="13" fillId="0" borderId="43" xfId="0" applyFont="1" applyBorder="1" applyAlignment="1" applyProtection="1">
      <alignment horizontal="left" vertical="center"/>
      <protection locked="0"/>
    </xf>
    <xf numFmtId="20" fontId="2" fillId="0" borderId="41" xfId="0" quotePrefix="1" applyNumberFormat="1" applyFont="1" applyBorder="1" applyAlignment="1" applyProtection="1">
      <alignment horizontal="center" vertical="center"/>
      <protection locked="0"/>
    </xf>
    <xf numFmtId="0" fontId="2" fillId="0" borderId="43" xfId="0" applyFont="1" applyBorder="1" applyAlignment="1" applyProtection="1">
      <alignment horizontal="center" vertical="center"/>
      <protection locked="0"/>
    </xf>
    <xf numFmtId="0" fontId="8" fillId="0" borderId="50" xfId="0" applyFont="1" applyBorder="1" applyAlignment="1" applyProtection="1">
      <alignment horizontal="center" vertical="center"/>
      <protection locked="0"/>
    </xf>
    <xf numFmtId="176" fontId="35" fillId="0" borderId="34" xfId="0" applyNumberFormat="1" applyFont="1" applyBorder="1" applyAlignment="1">
      <alignment horizontal="right" vertical="center"/>
    </xf>
    <xf numFmtId="176" fontId="35" fillId="0" borderId="35" xfId="0" applyNumberFormat="1" applyFont="1" applyBorder="1" applyAlignment="1">
      <alignment horizontal="right" vertical="center"/>
    </xf>
    <xf numFmtId="0" fontId="25" fillId="0" borderId="25" xfId="0" applyFont="1" applyBorder="1" applyAlignment="1">
      <alignment horizontal="center" vertical="center"/>
    </xf>
    <xf numFmtId="0" fontId="25" fillId="0" borderId="27" xfId="0" applyFont="1" applyBorder="1" applyAlignment="1">
      <alignment horizontal="center" vertical="center"/>
    </xf>
    <xf numFmtId="0" fontId="25" fillId="0" borderId="29" xfId="0" applyFont="1" applyBorder="1" applyAlignment="1">
      <alignment horizontal="center" vertical="center"/>
    </xf>
    <xf numFmtId="176" fontId="12" fillId="0" borderId="25" xfId="0" applyNumberFormat="1" applyFont="1" applyBorder="1" applyAlignment="1" applyProtection="1">
      <alignment horizontal="center" vertical="center" shrinkToFit="1"/>
      <protection locked="0"/>
    </xf>
    <xf numFmtId="176" fontId="12" fillId="0" borderId="27" xfId="0" applyNumberFormat="1" applyFont="1" applyBorder="1" applyAlignment="1" applyProtection="1">
      <alignment horizontal="center" vertical="center" shrinkToFit="1"/>
      <protection locked="0"/>
    </xf>
    <xf numFmtId="0" fontId="30" fillId="0" borderId="26" xfId="0" applyFont="1" applyBorder="1" applyAlignment="1" applyProtection="1">
      <alignment horizontal="center" vertical="top" wrapText="1"/>
      <protection locked="0"/>
    </xf>
    <xf numFmtId="0" fontId="30" fillId="0" borderId="28" xfId="0" applyFont="1" applyBorder="1" applyAlignment="1" applyProtection="1">
      <alignment horizontal="center" vertical="top" wrapText="1"/>
      <protection locked="0"/>
    </xf>
    <xf numFmtId="0" fontId="30" fillId="0" borderId="30" xfId="0" applyFont="1" applyBorder="1" applyAlignment="1" applyProtection="1">
      <alignment horizontal="center" vertical="top" wrapText="1"/>
      <protection locked="0"/>
    </xf>
    <xf numFmtId="0" fontId="5" fillId="0" borderId="5" xfId="0" applyFont="1" applyBorder="1" applyAlignment="1" applyProtection="1">
      <alignment horizontal="left" vertical="top" wrapText="1"/>
      <protection locked="0"/>
    </xf>
    <xf numFmtId="0" fontId="5" fillId="0" borderId="6" xfId="0" applyFont="1" applyBorder="1" applyAlignment="1" applyProtection="1">
      <alignment horizontal="left" vertical="top" wrapText="1"/>
      <protection locked="0"/>
    </xf>
    <xf numFmtId="0" fontId="5" fillId="0" borderId="7" xfId="0" applyFont="1" applyBorder="1" applyAlignment="1" applyProtection="1">
      <alignment horizontal="left" vertical="top" wrapText="1"/>
      <protection locked="0"/>
    </xf>
    <xf numFmtId="0" fontId="5" fillId="0" borderId="11" xfId="0" applyFont="1" applyBorder="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5" fillId="0" borderId="12" xfId="0" applyFont="1" applyBorder="1" applyAlignment="1" applyProtection="1">
      <alignment horizontal="left" vertical="top" wrapText="1"/>
      <protection locked="0"/>
    </xf>
    <xf numFmtId="0" fontId="5" fillId="0" borderId="19" xfId="0" applyFont="1" applyBorder="1" applyAlignment="1" applyProtection="1">
      <alignment horizontal="left" vertical="top" wrapText="1"/>
      <protection locked="0"/>
    </xf>
    <xf numFmtId="0" fontId="5" fillId="0" borderId="20" xfId="0" applyFont="1" applyBorder="1" applyAlignment="1" applyProtection="1">
      <alignment horizontal="left" vertical="top" wrapText="1"/>
      <protection locked="0"/>
    </xf>
    <xf numFmtId="0" fontId="5" fillId="0" borderId="21" xfId="0" applyFont="1" applyBorder="1" applyAlignment="1" applyProtection="1">
      <alignment horizontal="left" vertical="top" wrapText="1"/>
      <protection locked="0"/>
    </xf>
    <xf numFmtId="0" fontId="78" fillId="0" borderId="5" xfId="1" applyFont="1" applyBorder="1" applyAlignment="1" applyProtection="1">
      <alignment vertical="top" wrapText="1"/>
      <protection locked="0"/>
    </xf>
    <xf numFmtId="0" fontId="78" fillId="0" borderId="6" xfId="1" applyFont="1" applyBorder="1" applyAlignment="1" applyProtection="1">
      <alignment vertical="top" wrapText="1"/>
      <protection locked="0"/>
    </xf>
    <xf numFmtId="0" fontId="78" fillId="0" borderId="7" xfId="1" applyFont="1" applyBorder="1" applyAlignment="1" applyProtection="1">
      <alignment vertical="top" wrapText="1"/>
      <protection locked="0"/>
    </xf>
    <xf numFmtId="0" fontId="78" fillId="0" borderId="11" xfId="1" applyFont="1" applyBorder="1" applyAlignment="1" applyProtection="1">
      <alignment vertical="top" wrapText="1"/>
      <protection locked="0"/>
    </xf>
    <xf numFmtId="0" fontId="78" fillId="0" borderId="0" xfId="1" applyFont="1" applyAlignment="1" applyProtection="1">
      <alignment vertical="top" wrapText="1"/>
      <protection locked="0"/>
    </xf>
    <xf numFmtId="0" fontId="78" fillId="0" borderId="12" xfId="1" applyFont="1" applyBorder="1" applyAlignment="1" applyProtection="1">
      <alignment vertical="top" wrapText="1"/>
      <protection locked="0"/>
    </xf>
    <xf numFmtId="0" fontId="15" fillId="0" borderId="5" xfId="0" applyFont="1" applyBorder="1" applyAlignment="1" applyProtection="1">
      <alignment horizontal="center" vertical="center" wrapText="1"/>
      <protection locked="0"/>
    </xf>
    <xf numFmtId="0" fontId="8" fillId="0" borderId="6" xfId="0" applyFont="1" applyBorder="1" applyAlignment="1" applyProtection="1">
      <alignment horizontal="center" vertical="center" wrapText="1"/>
      <protection locked="0"/>
    </xf>
    <xf numFmtId="0" fontId="8" fillId="0" borderId="7" xfId="0" applyFont="1" applyBorder="1" applyAlignment="1" applyProtection="1">
      <alignment horizontal="center" vertical="center" wrapText="1"/>
      <protection locked="0"/>
    </xf>
    <xf numFmtId="0" fontId="8" fillId="0" borderId="11" xfId="0" applyFont="1" applyBorder="1" applyAlignment="1" applyProtection="1">
      <alignment horizontal="center" vertical="center" wrapText="1"/>
      <protection locked="0"/>
    </xf>
    <xf numFmtId="0" fontId="8" fillId="0" borderId="0" xfId="0" applyFont="1" applyAlignment="1" applyProtection="1">
      <alignment horizontal="center" vertical="center" wrapText="1"/>
      <protection locked="0"/>
    </xf>
    <xf numFmtId="0" fontId="8" fillId="0" borderId="12" xfId="0" applyFont="1" applyBorder="1" applyAlignment="1" applyProtection="1">
      <alignment horizontal="center" vertical="center" wrapText="1"/>
      <protection locked="0"/>
    </xf>
    <xf numFmtId="0" fontId="8" fillId="0" borderId="39" xfId="0" applyFont="1" applyBorder="1" applyAlignment="1" applyProtection="1">
      <alignment horizontal="center" vertical="center" wrapText="1"/>
      <protection locked="0"/>
    </xf>
    <xf numFmtId="0" fontId="8" fillId="0" borderId="31" xfId="0" applyFont="1" applyBorder="1" applyAlignment="1" applyProtection="1">
      <alignment horizontal="center" vertical="center" wrapText="1"/>
      <protection locked="0"/>
    </xf>
    <xf numFmtId="0" fontId="8" fillId="0" borderId="40" xfId="0" applyFont="1" applyBorder="1" applyAlignment="1" applyProtection="1">
      <alignment horizontal="center" vertical="center" wrapText="1"/>
      <protection locked="0"/>
    </xf>
    <xf numFmtId="0" fontId="30" fillId="0" borderId="26" xfId="0" applyFont="1" applyBorder="1" applyAlignment="1" applyProtection="1">
      <alignment horizontal="left" vertical="top" wrapText="1"/>
      <protection locked="0"/>
    </xf>
    <xf numFmtId="0" fontId="30" fillId="0" borderId="28" xfId="0" applyFont="1" applyBorder="1" applyAlignment="1" applyProtection="1">
      <alignment horizontal="left" vertical="top" wrapText="1"/>
      <protection locked="0"/>
    </xf>
    <xf numFmtId="0" fontId="30" fillId="0" borderId="30" xfId="0" applyFont="1" applyBorder="1" applyAlignment="1" applyProtection="1">
      <alignment horizontal="left" vertical="top" wrapText="1"/>
      <protection locked="0"/>
    </xf>
    <xf numFmtId="0" fontId="13" fillId="0" borderId="47" xfId="0" applyFont="1" applyBorder="1" applyAlignment="1" applyProtection="1">
      <alignment horizontal="left" vertical="center"/>
      <protection locked="0"/>
    </xf>
    <xf numFmtId="0" fontId="13" fillId="0" borderId="48" xfId="0" applyFont="1" applyBorder="1" applyAlignment="1" applyProtection="1">
      <alignment horizontal="left" vertical="center"/>
      <protection locked="0"/>
    </xf>
    <xf numFmtId="0" fontId="13" fillId="0" borderId="49" xfId="0" applyFont="1" applyBorder="1" applyAlignment="1" applyProtection="1">
      <alignment horizontal="left" vertical="center"/>
      <protection locked="0"/>
    </xf>
    <xf numFmtId="0" fontId="2" fillId="0" borderId="47" xfId="0" applyFont="1" applyBorder="1" applyAlignment="1" applyProtection="1">
      <alignment horizontal="center" vertical="center"/>
      <protection locked="0"/>
    </xf>
    <xf numFmtId="0" fontId="2" fillId="0" borderId="49" xfId="0" applyFont="1" applyBorder="1" applyAlignment="1" applyProtection="1">
      <alignment horizontal="center" vertical="center"/>
      <protection locked="0"/>
    </xf>
    <xf numFmtId="0" fontId="8" fillId="0" borderId="55" xfId="0" applyFont="1" applyBorder="1" applyAlignment="1" applyProtection="1">
      <alignment horizontal="center" vertical="center"/>
      <protection locked="0"/>
    </xf>
    <xf numFmtId="0" fontId="35" fillId="0" borderId="38" xfId="0" applyFont="1" applyBorder="1" applyAlignment="1">
      <alignment horizontal="center" vertical="center"/>
    </xf>
    <xf numFmtId="0" fontId="68" fillId="0" borderId="5" xfId="0" applyFont="1" applyBorder="1" applyAlignment="1" applyProtection="1">
      <alignment horizontal="left" vertical="top" wrapText="1"/>
      <protection locked="0"/>
    </xf>
    <xf numFmtId="0" fontId="68" fillId="0" borderId="6" xfId="0" applyFont="1" applyBorder="1" applyAlignment="1" applyProtection="1">
      <alignment horizontal="left" vertical="top" wrapText="1"/>
      <protection locked="0"/>
    </xf>
    <xf numFmtId="0" fontId="68" fillId="0" borderId="7" xfId="0" applyFont="1" applyBorder="1" applyAlignment="1" applyProtection="1">
      <alignment horizontal="left" vertical="top" wrapText="1"/>
      <protection locked="0"/>
    </xf>
    <xf numFmtId="0" fontId="68" fillId="0" borderId="11" xfId="0" applyFont="1" applyBorder="1" applyAlignment="1" applyProtection="1">
      <alignment horizontal="left" vertical="top" wrapText="1"/>
      <protection locked="0"/>
    </xf>
    <xf numFmtId="0" fontId="68" fillId="0" borderId="0" xfId="0" applyFont="1" applyAlignment="1" applyProtection="1">
      <alignment horizontal="left" vertical="top" wrapText="1"/>
      <protection locked="0"/>
    </xf>
    <xf numFmtId="0" fontId="68" fillId="0" borderId="12" xfId="0" applyFont="1" applyBorder="1" applyAlignment="1" applyProtection="1">
      <alignment horizontal="left" vertical="top" wrapText="1"/>
      <protection locked="0"/>
    </xf>
    <xf numFmtId="0" fontId="68" fillId="0" borderId="19" xfId="0" applyFont="1" applyBorder="1" applyAlignment="1" applyProtection="1">
      <alignment horizontal="left" vertical="top" wrapText="1"/>
      <protection locked="0"/>
    </xf>
    <xf numFmtId="0" fontId="68" fillId="0" borderId="20" xfId="0" applyFont="1" applyBorder="1" applyAlignment="1" applyProtection="1">
      <alignment horizontal="left" vertical="top" wrapText="1"/>
      <protection locked="0"/>
    </xf>
    <xf numFmtId="0" fontId="68" fillId="0" borderId="21" xfId="0" applyFont="1" applyBorder="1" applyAlignment="1" applyProtection="1">
      <alignment horizontal="left" vertical="top" wrapText="1"/>
      <protection locked="0"/>
    </xf>
    <xf numFmtId="0" fontId="77" fillId="0" borderId="5" xfId="0" applyFont="1" applyBorder="1" applyAlignment="1" applyProtection="1">
      <alignment horizontal="left" vertical="top" wrapText="1"/>
      <protection locked="0"/>
    </xf>
    <xf numFmtId="0" fontId="77" fillId="0" borderId="6" xfId="0" applyFont="1" applyBorder="1" applyAlignment="1" applyProtection="1">
      <alignment horizontal="left" vertical="top" wrapText="1"/>
      <protection locked="0"/>
    </xf>
    <xf numFmtId="0" fontId="77" fillId="0" borderId="7" xfId="0" applyFont="1" applyBorder="1" applyAlignment="1" applyProtection="1">
      <alignment horizontal="left" vertical="top" wrapText="1"/>
      <protection locked="0"/>
    </xf>
    <xf numFmtId="0" fontId="77" fillId="0" borderId="11" xfId="0" applyFont="1" applyBorder="1" applyAlignment="1" applyProtection="1">
      <alignment horizontal="left" vertical="top" wrapText="1"/>
      <protection locked="0"/>
    </xf>
    <xf numFmtId="0" fontId="77" fillId="0" borderId="0" xfId="0" applyFont="1" applyAlignment="1" applyProtection="1">
      <alignment horizontal="left" vertical="top" wrapText="1"/>
      <protection locked="0"/>
    </xf>
    <xf numFmtId="0" fontId="77" fillId="0" borderId="12" xfId="0" applyFont="1" applyBorder="1" applyAlignment="1" applyProtection="1">
      <alignment horizontal="left" vertical="top" wrapText="1"/>
      <protection locked="0"/>
    </xf>
    <xf numFmtId="0" fontId="77" fillId="0" borderId="19" xfId="0" applyFont="1" applyBorder="1" applyAlignment="1" applyProtection="1">
      <alignment horizontal="left" vertical="top" wrapText="1"/>
      <protection locked="0"/>
    </xf>
    <xf numFmtId="0" fontId="77" fillId="0" borderId="20" xfId="0" applyFont="1" applyBorder="1" applyAlignment="1" applyProtection="1">
      <alignment horizontal="left" vertical="top" wrapText="1"/>
      <protection locked="0"/>
    </xf>
    <xf numFmtId="0" fontId="77" fillId="0" borderId="21" xfId="0" applyFont="1" applyBorder="1" applyAlignment="1" applyProtection="1">
      <alignment horizontal="left" vertical="top" wrapText="1"/>
      <protection locked="0"/>
    </xf>
    <xf numFmtId="177" fontId="12" fillId="0" borderId="27" xfId="0" applyNumberFormat="1" applyFont="1" applyBorder="1" applyAlignment="1" applyProtection="1">
      <alignment horizontal="center" vertical="center"/>
      <protection locked="0"/>
    </xf>
    <xf numFmtId="177" fontId="12" fillId="0" borderId="29" xfId="0" applyNumberFormat="1" applyFont="1" applyBorder="1" applyAlignment="1" applyProtection="1">
      <alignment horizontal="center" vertical="center"/>
      <protection locked="0"/>
    </xf>
    <xf numFmtId="0" fontId="15" fillId="0" borderId="27" xfId="0" applyFont="1" applyBorder="1" applyAlignment="1" applyProtection="1">
      <alignment horizontal="center" vertical="center" shrinkToFit="1"/>
      <protection locked="0"/>
    </xf>
    <xf numFmtId="0" fontId="8" fillId="0" borderId="29" xfId="0" applyFont="1" applyBorder="1" applyAlignment="1" applyProtection="1">
      <alignment horizontal="center" vertical="center" shrinkToFit="1"/>
      <protection locked="0"/>
    </xf>
    <xf numFmtId="0" fontId="15" fillId="0" borderId="11" xfId="0" applyFont="1" applyBorder="1" applyAlignment="1" applyProtection="1">
      <alignment horizontal="center" vertical="center" shrinkToFit="1"/>
      <protection locked="0"/>
    </xf>
    <xf numFmtId="0" fontId="8" fillId="0" borderId="0" xfId="0" applyFont="1" applyAlignment="1" applyProtection="1">
      <alignment horizontal="center" vertical="center" shrinkToFit="1"/>
      <protection locked="0"/>
    </xf>
    <xf numFmtId="0" fontId="8" fillId="0" borderId="12" xfId="0" applyFont="1" applyBorder="1" applyAlignment="1" applyProtection="1">
      <alignment horizontal="center" vertical="center" shrinkToFit="1"/>
      <protection locked="0"/>
    </xf>
    <xf numFmtId="0" fontId="8" fillId="0" borderId="19" xfId="0" applyFont="1" applyBorder="1" applyAlignment="1" applyProtection="1">
      <alignment horizontal="center" vertical="center" shrinkToFit="1"/>
      <protection locked="0"/>
    </xf>
    <xf numFmtId="0" fontId="8" fillId="0" borderId="20" xfId="0" applyFont="1" applyBorder="1" applyAlignment="1" applyProtection="1">
      <alignment horizontal="center" vertical="center" shrinkToFit="1"/>
      <protection locked="0"/>
    </xf>
    <xf numFmtId="0" fontId="8" fillId="0" borderId="21" xfId="0" applyFont="1" applyBorder="1" applyAlignment="1" applyProtection="1">
      <alignment horizontal="center" vertical="center" shrinkToFit="1"/>
      <protection locked="0"/>
    </xf>
    <xf numFmtId="0" fontId="35" fillId="0" borderId="33" xfId="0" applyFont="1" applyBorder="1" applyAlignment="1">
      <alignment vertical="center" shrinkToFit="1"/>
    </xf>
    <xf numFmtId="0" fontId="13" fillId="0" borderId="39" xfId="0" applyFont="1" applyBorder="1" applyAlignment="1" applyProtection="1">
      <alignment horizontal="left" vertical="center"/>
      <protection locked="0"/>
    </xf>
    <xf numFmtId="0" fontId="13" fillId="0" borderId="31" xfId="0" applyFont="1" applyBorder="1" applyAlignment="1" applyProtection="1">
      <alignment horizontal="left" vertical="center"/>
      <protection locked="0"/>
    </xf>
    <xf numFmtId="0" fontId="13" fillId="0" borderId="40" xfId="0" applyFont="1" applyBorder="1" applyAlignment="1" applyProtection="1">
      <alignment horizontal="left" vertical="center"/>
      <protection locked="0"/>
    </xf>
    <xf numFmtId="20" fontId="2" fillId="0" borderId="39" xfId="0" applyNumberFormat="1" applyFont="1" applyBorder="1" applyAlignment="1" applyProtection="1">
      <alignment horizontal="center" vertical="center"/>
      <protection locked="0"/>
    </xf>
    <xf numFmtId="0" fontId="2" fillId="0" borderId="40" xfId="0" applyFont="1" applyBorder="1" applyAlignment="1" applyProtection="1">
      <alignment horizontal="center" vertical="center"/>
      <protection locked="0"/>
    </xf>
    <xf numFmtId="0" fontId="8" fillId="0" borderId="56" xfId="0" applyFont="1" applyBorder="1" applyAlignment="1" applyProtection="1">
      <alignment horizontal="center" vertical="center"/>
      <protection locked="0"/>
    </xf>
    <xf numFmtId="0" fontId="51" fillId="0" borderId="5" xfId="0" applyFont="1" applyBorder="1" applyAlignment="1" applyProtection="1">
      <alignment horizontal="left" vertical="top" wrapText="1"/>
      <protection locked="0"/>
    </xf>
    <xf numFmtId="0" fontId="51" fillId="0" borderId="6" xfId="0" applyFont="1" applyBorder="1" applyAlignment="1" applyProtection="1">
      <alignment horizontal="left" vertical="top" wrapText="1"/>
      <protection locked="0"/>
    </xf>
    <xf numFmtId="0" fontId="51" fillId="0" borderId="7" xfId="0" applyFont="1" applyBorder="1" applyAlignment="1" applyProtection="1">
      <alignment horizontal="left" vertical="top" wrapText="1"/>
      <protection locked="0"/>
    </xf>
    <xf numFmtId="0" fontId="51" fillId="0" borderId="11" xfId="0" applyFont="1" applyBorder="1" applyAlignment="1" applyProtection="1">
      <alignment horizontal="left" vertical="top" wrapText="1"/>
      <protection locked="0"/>
    </xf>
    <xf numFmtId="0" fontId="51" fillId="0" borderId="0" xfId="0" applyFont="1" applyAlignment="1" applyProtection="1">
      <alignment horizontal="left" vertical="top" wrapText="1"/>
      <protection locked="0"/>
    </xf>
    <xf numFmtId="0" fontId="51" fillId="0" borderId="12" xfId="0" applyFont="1" applyBorder="1" applyAlignment="1" applyProtection="1">
      <alignment horizontal="left" vertical="top" wrapText="1"/>
      <protection locked="0"/>
    </xf>
    <xf numFmtId="0" fontId="51" fillId="0" borderId="19" xfId="0" applyFont="1" applyBorder="1" applyAlignment="1" applyProtection="1">
      <alignment horizontal="left" vertical="top" wrapText="1"/>
      <protection locked="0"/>
    </xf>
    <xf numFmtId="0" fontId="51" fillId="0" borderId="20" xfId="0" applyFont="1" applyBorder="1" applyAlignment="1" applyProtection="1">
      <alignment horizontal="left" vertical="top" wrapText="1"/>
      <protection locked="0"/>
    </xf>
    <xf numFmtId="0" fontId="51" fillId="0" borderId="21" xfId="0" applyFont="1" applyBorder="1" applyAlignment="1" applyProtection="1">
      <alignment horizontal="left" vertical="top" wrapText="1"/>
      <protection locked="0"/>
    </xf>
    <xf numFmtId="0" fontId="78" fillId="0" borderId="5" xfId="0" applyFont="1" applyBorder="1" applyAlignment="1" applyProtection="1">
      <alignment horizontal="left" vertical="top" wrapText="1"/>
      <protection locked="0"/>
    </xf>
    <xf numFmtId="0" fontId="78" fillId="0" borderId="6" xfId="0" applyFont="1" applyBorder="1" applyAlignment="1" applyProtection="1">
      <alignment horizontal="left" vertical="top" wrapText="1"/>
      <protection locked="0"/>
    </xf>
    <xf numFmtId="0" fontId="78" fillId="0" borderId="7" xfId="0" applyFont="1" applyBorder="1" applyAlignment="1" applyProtection="1">
      <alignment horizontal="left" vertical="top" wrapText="1"/>
      <protection locked="0"/>
    </xf>
    <xf numFmtId="0" fontId="78" fillId="0" borderId="11" xfId="0" applyFont="1" applyBorder="1" applyAlignment="1" applyProtection="1">
      <alignment horizontal="left" vertical="top" wrapText="1"/>
      <protection locked="0"/>
    </xf>
    <xf numFmtId="0" fontId="78" fillId="0" borderId="0" xfId="0" applyFont="1" applyAlignment="1" applyProtection="1">
      <alignment horizontal="left" vertical="top" wrapText="1"/>
      <protection locked="0"/>
    </xf>
    <xf numFmtId="0" fontId="78" fillId="0" borderId="12" xfId="0" applyFont="1" applyBorder="1" applyAlignment="1" applyProtection="1">
      <alignment horizontal="left" vertical="top" wrapText="1"/>
      <protection locked="0"/>
    </xf>
    <xf numFmtId="0" fontId="20" fillId="0" borderId="44" xfId="0" applyFont="1" applyBorder="1" applyAlignment="1" applyProtection="1">
      <alignment horizontal="left" vertical="center"/>
      <protection locked="0"/>
    </xf>
    <xf numFmtId="0" fontId="20" fillId="0" borderId="45" xfId="0" applyFont="1" applyBorder="1" applyAlignment="1" applyProtection="1">
      <alignment horizontal="left" vertical="center"/>
      <protection locked="0"/>
    </xf>
    <xf numFmtId="0" fontId="20" fillId="0" borderId="46" xfId="0" applyFont="1" applyBorder="1" applyAlignment="1" applyProtection="1">
      <alignment horizontal="left" vertical="center"/>
      <protection locked="0"/>
    </xf>
    <xf numFmtId="20" fontId="18" fillId="0" borderId="44" xfId="0" quotePrefix="1" applyNumberFormat="1" applyFont="1" applyBorder="1" applyAlignment="1" applyProtection="1">
      <alignment horizontal="center" vertical="center"/>
      <protection locked="0"/>
    </xf>
    <xf numFmtId="0" fontId="18" fillId="0" borderId="46" xfId="0" applyFont="1" applyBorder="1" applyAlignment="1" applyProtection="1">
      <alignment horizontal="center" vertical="center"/>
      <protection locked="0"/>
    </xf>
    <xf numFmtId="0" fontId="18" fillId="0" borderId="44" xfId="0" applyFont="1" applyBorder="1" applyAlignment="1" applyProtection="1">
      <alignment horizontal="center" vertical="center"/>
      <protection locked="0"/>
    </xf>
    <xf numFmtId="0" fontId="22" fillId="0" borderId="54" xfId="0" applyFont="1" applyBorder="1" applyAlignment="1" applyProtection="1">
      <alignment horizontal="center" vertical="center"/>
      <protection locked="0"/>
    </xf>
    <xf numFmtId="0" fontId="20" fillId="0" borderId="39" xfId="0" applyFont="1" applyBorder="1" applyAlignment="1" applyProtection="1">
      <alignment horizontal="left" vertical="center"/>
      <protection locked="0"/>
    </xf>
    <xf numFmtId="0" fontId="20" fillId="0" borderId="31" xfId="0" applyFont="1" applyBorder="1" applyAlignment="1" applyProtection="1">
      <alignment horizontal="left" vertical="center"/>
      <protection locked="0"/>
    </xf>
    <xf numFmtId="0" fontId="20" fillId="0" borderId="40" xfId="0" applyFont="1" applyBorder="1" applyAlignment="1" applyProtection="1">
      <alignment horizontal="left" vertical="center"/>
      <protection locked="0"/>
    </xf>
    <xf numFmtId="20" fontId="74" fillId="0" borderId="39" xfId="0" quotePrefix="1" applyNumberFormat="1" applyFont="1" applyBorder="1" applyAlignment="1" applyProtection="1">
      <alignment horizontal="center" vertical="center" shrinkToFit="1"/>
      <protection locked="0"/>
    </xf>
    <xf numFmtId="0" fontId="74" fillId="0" borderId="40" xfId="0" applyFont="1" applyBorder="1" applyAlignment="1" applyProtection="1">
      <alignment horizontal="center" vertical="center" shrinkToFit="1"/>
      <protection locked="0"/>
    </xf>
    <xf numFmtId="0" fontId="74" fillId="0" borderId="44" xfId="0" applyFont="1" applyBorder="1" applyAlignment="1" applyProtection="1">
      <alignment horizontal="center" vertical="center" shrinkToFit="1"/>
      <protection locked="0"/>
    </xf>
    <xf numFmtId="0" fontId="74" fillId="0" borderId="46" xfId="0" applyFont="1" applyBorder="1" applyAlignment="1" applyProtection="1">
      <alignment horizontal="center" vertical="center" shrinkToFit="1"/>
      <protection locked="0"/>
    </xf>
    <xf numFmtId="0" fontId="22" fillId="0" borderId="56" xfId="0" applyFont="1" applyBorder="1" applyAlignment="1" applyProtection="1">
      <alignment horizontal="center" vertical="center"/>
      <protection locked="0"/>
    </xf>
    <xf numFmtId="20" fontId="18" fillId="0" borderId="44" xfId="0" applyNumberFormat="1" applyFont="1" applyBorder="1" applyAlignment="1" applyProtection="1">
      <alignment horizontal="center" vertical="center"/>
      <protection locked="0"/>
    </xf>
    <xf numFmtId="0" fontId="18" fillId="0" borderId="47" xfId="0" applyFont="1" applyBorder="1" applyAlignment="1" applyProtection="1">
      <alignment horizontal="center" vertical="center"/>
      <protection locked="0"/>
    </xf>
    <xf numFmtId="0" fontId="18" fillId="0" borderId="49" xfId="0" applyFont="1" applyBorder="1" applyAlignment="1" applyProtection="1">
      <alignment horizontal="center" vertical="center"/>
      <protection locked="0"/>
    </xf>
    <xf numFmtId="0" fontId="22" fillId="0" borderId="55" xfId="0" applyFont="1" applyBorder="1" applyAlignment="1" applyProtection="1">
      <alignment horizontal="center" vertical="center"/>
      <protection locked="0"/>
    </xf>
    <xf numFmtId="0" fontId="30" fillId="0" borderId="5" xfId="0" applyFont="1" applyBorder="1" applyAlignment="1" applyProtection="1">
      <alignment horizontal="center" vertical="top" wrapText="1"/>
      <protection locked="0"/>
    </xf>
    <xf numFmtId="0" fontId="30" fillId="0" borderId="7" xfId="0" applyFont="1" applyBorder="1" applyAlignment="1" applyProtection="1">
      <alignment horizontal="center" vertical="top" wrapText="1"/>
      <protection locked="0"/>
    </xf>
    <xf numFmtId="0" fontId="30" fillId="0" borderId="11" xfId="0" applyFont="1" applyBorder="1" applyAlignment="1" applyProtection="1">
      <alignment horizontal="center" vertical="top" wrapText="1"/>
      <protection locked="0"/>
    </xf>
    <xf numFmtId="0" fontId="30" fillId="0" borderId="12" xfId="0" applyFont="1" applyBorder="1" applyAlignment="1" applyProtection="1">
      <alignment horizontal="center" vertical="top" wrapText="1"/>
      <protection locked="0"/>
    </xf>
    <xf numFmtId="0" fontId="30" fillId="0" borderId="19" xfId="0" applyFont="1" applyBorder="1" applyAlignment="1" applyProtection="1">
      <alignment horizontal="center" vertical="top" wrapText="1"/>
      <protection locked="0"/>
    </xf>
    <xf numFmtId="0" fontId="30" fillId="0" borderId="21" xfId="0" applyFont="1" applyBorder="1" applyAlignment="1" applyProtection="1">
      <alignment horizontal="center" vertical="top" wrapText="1"/>
      <protection locked="0"/>
    </xf>
    <xf numFmtId="0" fontId="48" fillId="0" borderId="5" xfId="0" applyFont="1" applyBorder="1" applyAlignment="1" applyProtection="1">
      <alignment horizontal="left" vertical="top" wrapText="1"/>
      <protection locked="0"/>
    </xf>
    <xf numFmtId="0" fontId="48" fillId="0" borderId="6" xfId="0" applyFont="1" applyBorder="1" applyAlignment="1" applyProtection="1">
      <alignment horizontal="left" vertical="top" wrapText="1"/>
      <protection locked="0"/>
    </xf>
    <xf numFmtId="0" fontId="48" fillId="0" borderId="7" xfId="0" applyFont="1" applyBorder="1" applyAlignment="1" applyProtection="1">
      <alignment horizontal="left" vertical="top" wrapText="1"/>
      <protection locked="0"/>
    </xf>
    <xf numFmtId="0" fontId="48" fillId="0" borderId="11" xfId="0" applyFont="1" applyBorder="1" applyAlignment="1" applyProtection="1">
      <alignment horizontal="left" vertical="top" wrapText="1"/>
      <protection locked="0"/>
    </xf>
    <xf numFmtId="0" fontId="48" fillId="0" borderId="0" xfId="0" applyFont="1" applyAlignment="1" applyProtection="1">
      <alignment horizontal="left" vertical="top" wrapText="1"/>
      <protection locked="0"/>
    </xf>
    <xf numFmtId="0" fontId="48" fillId="0" borderId="12" xfId="0" applyFont="1" applyBorder="1" applyAlignment="1" applyProtection="1">
      <alignment horizontal="left" vertical="top" wrapText="1"/>
      <protection locked="0"/>
    </xf>
    <xf numFmtId="0" fontId="48" fillId="0" borderId="19" xfId="0" applyFont="1" applyBorder="1" applyAlignment="1" applyProtection="1">
      <alignment horizontal="left" vertical="top" wrapText="1"/>
      <protection locked="0"/>
    </xf>
    <xf numFmtId="0" fontId="48" fillId="0" borderId="20" xfId="0" applyFont="1" applyBorder="1" applyAlignment="1" applyProtection="1">
      <alignment horizontal="left" vertical="top" wrapText="1"/>
      <protection locked="0"/>
    </xf>
    <xf numFmtId="0" fontId="48" fillId="0" borderId="21" xfId="0" applyFont="1" applyBorder="1" applyAlignment="1" applyProtection="1">
      <alignment horizontal="left" vertical="top" wrapText="1"/>
      <protection locked="0"/>
    </xf>
    <xf numFmtId="0" fontId="78" fillId="0" borderId="19" xfId="1" applyFont="1" applyBorder="1" applyAlignment="1" applyProtection="1">
      <alignment vertical="top" wrapText="1"/>
      <protection locked="0"/>
    </xf>
    <xf numFmtId="0" fontId="78" fillId="0" borderId="20" xfId="1" applyFont="1" applyBorder="1" applyAlignment="1" applyProtection="1">
      <alignment vertical="top" wrapText="1"/>
      <protection locked="0"/>
    </xf>
    <xf numFmtId="0" fontId="78" fillId="0" borderId="21" xfId="1" applyFont="1" applyBorder="1" applyAlignment="1" applyProtection="1">
      <alignment vertical="top" wrapText="1"/>
      <protection locked="0"/>
    </xf>
    <xf numFmtId="0" fontId="20" fillId="0" borderId="47" xfId="0" applyFont="1" applyBorder="1" applyAlignment="1" applyProtection="1">
      <alignment horizontal="left" vertical="center"/>
      <protection locked="0"/>
    </xf>
    <xf numFmtId="0" fontId="20" fillId="0" borderId="48" xfId="0" applyFont="1" applyBorder="1" applyAlignment="1" applyProtection="1">
      <alignment horizontal="left" vertical="center"/>
      <protection locked="0"/>
    </xf>
    <xf numFmtId="0" fontId="20" fillId="0" borderId="49" xfId="0" applyFont="1" applyBorder="1" applyAlignment="1" applyProtection="1">
      <alignment horizontal="left" vertical="center"/>
      <protection locked="0"/>
    </xf>
    <xf numFmtId="0" fontId="17" fillId="0" borderId="5" xfId="0" applyFont="1" applyBorder="1" applyAlignment="1" applyProtection="1">
      <alignment horizontal="left" vertical="top" wrapText="1"/>
      <protection locked="0"/>
    </xf>
    <xf numFmtId="0" fontId="17" fillId="0" borderId="6" xfId="0" applyFont="1" applyBorder="1" applyAlignment="1" applyProtection="1">
      <alignment horizontal="left" vertical="top" wrapText="1"/>
      <protection locked="0"/>
    </xf>
    <xf numFmtId="0" fontId="17" fillId="0" borderId="7" xfId="0" applyFont="1" applyBorder="1" applyAlignment="1" applyProtection="1">
      <alignment horizontal="left" vertical="top" wrapText="1"/>
      <protection locked="0"/>
    </xf>
    <xf numFmtId="0" fontId="17" fillId="0" borderId="11" xfId="0" applyFont="1" applyBorder="1" applyAlignment="1" applyProtection="1">
      <alignment horizontal="left" vertical="top" wrapText="1"/>
      <protection locked="0"/>
    </xf>
    <xf numFmtId="0" fontId="17" fillId="0" borderId="0" xfId="0" applyFont="1" applyAlignment="1" applyProtection="1">
      <alignment horizontal="left" vertical="top" wrapText="1"/>
      <protection locked="0"/>
    </xf>
    <xf numFmtId="0" fontId="17" fillId="0" borderId="12" xfId="0" applyFont="1" applyBorder="1" applyAlignment="1" applyProtection="1">
      <alignment horizontal="left" vertical="top" wrapText="1"/>
      <protection locked="0"/>
    </xf>
    <xf numFmtId="0" fontId="17" fillId="0" borderId="19" xfId="0" applyFont="1" applyBorder="1" applyAlignment="1" applyProtection="1">
      <alignment horizontal="left" vertical="top" wrapText="1"/>
      <protection locked="0"/>
    </xf>
    <xf numFmtId="0" fontId="17" fillId="0" borderId="20" xfId="0" applyFont="1" applyBorder="1" applyAlignment="1" applyProtection="1">
      <alignment horizontal="left" vertical="top" wrapText="1"/>
      <protection locked="0"/>
    </xf>
    <xf numFmtId="0" fontId="17" fillId="0" borderId="21" xfId="0" applyFont="1" applyBorder="1" applyAlignment="1" applyProtection="1">
      <alignment horizontal="left" vertical="top" wrapText="1"/>
      <protection locked="0"/>
    </xf>
    <xf numFmtId="0" fontId="78" fillId="0" borderId="19" xfId="0" applyFont="1" applyBorder="1" applyAlignment="1" applyProtection="1">
      <alignment horizontal="left" vertical="top" wrapText="1"/>
      <protection locked="0"/>
    </xf>
    <xf numFmtId="0" fontId="78" fillId="0" borderId="20" xfId="0" applyFont="1" applyBorder="1" applyAlignment="1" applyProtection="1">
      <alignment horizontal="left" vertical="top" wrapText="1"/>
      <protection locked="0"/>
    </xf>
    <xf numFmtId="0" fontId="78" fillId="0" borderId="21" xfId="0" applyFont="1" applyBorder="1" applyAlignment="1" applyProtection="1">
      <alignment horizontal="left" vertical="top" wrapText="1"/>
      <protection locked="0"/>
    </xf>
    <xf numFmtId="20" fontId="18" fillId="0" borderId="39" xfId="0" applyNumberFormat="1" applyFont="1" applyBorder="1" applyAlignment="1" applyProtection="1">
      <alignment horizontal="center" vertical="center"/>
      <protection locked="0"/>
    </xf>
    <xf numFmtId="0" fontId="18" fillId="0" borderId="40" xfId="0" applyFont="1" applyBorder="1" applyAlignment="1" applyProtection="1">
      <alignment horizontal="center" vertical="center"/>
      <protection locked="0"/>
    </xf>
    <xf numFmtId="0" fontId="15" fillId="0" borderId="6" xfId="0" applyFont="1" applyBorder="1" applyAlignment="1" applyProtection="1">
      <alignment horizontal="center" vertical="center" wrapText="1"/>
      <protection locked="0"/>
    </xf>
    <xf numFmtId="0" fontId="15" fillId="0" borderId="7" xfId="0" applyFont="1" applyBorder="1" applyAlignment="1" applyProtection="1">
      <alignment horizontal="center" vertical="center" wrapText="1"/>
      <protection locked="0"/>
    </xf>
    <xf numFmtId="0" fontId="15" fillId="0" borderId="11" xfId="0" applyFont="1" applyBorder="1" applyAlignment="1" applyProtection="1">
      <alignment horizontal="center" vertical="center" wrapText="1"/>
      <protection locked="0"/>
    </xf>
    <xf numFmtId="0" fontId="15" fillId="0" borderId="0" xfId="0" applyFont="1" applyAlignment="1" applyProtection="1">
      <alignment horizontal="center" vertical="center" wrapText="1"/>
      <protection locked="0"/>
    </xf>
    <xf numFmtId="0" fontId="15" fillId="0" borderId="12" xfId="0" applyFont="1" applyBorder="1" applyAlignment="1" applyProtection="1">
      <alignment horizontal="center" vertical="center" wrapText="1"/>
      <protection locked="0"/>
    </xf>
    <xf numFmtId="0" fontId="15" fillId="0" borderId="39" xfId="0" applyFont="1" applyBorder="1" applyAlignment="1" applyProtection="1">
      <alignment horizontal="center" vertical="center" wrapText="1"/>
      <protection locked="0"/>
    </xf>
    <xf numFmtId="0" fontId="15" fillId="0" borderId="31" xfId="0" applyFont="1" applyBorder="1" applyAlignment="1" applyProtection="1">
      <alignment horizontal="center" vertical="center" wrapText="1"/>
      <protection locked="0"/>
    </xf>
    <xf numFmtId="0" fontId="15" fillId="0" borderId="40" xfId="0" applyFont="1" applyBorder="1" applyAlignment="1" applyProtection="1">
      <alignment horizontal="center" vertical="center" wrapText="1"/>
      <protection locked="0"/>
    </xf>
    <xf numFmtId="0" fontId="15" fillId="0" borderId="29" xfId="0" applyFont="1" applyBorder="1" applyAlignment="1" applyProtection="1">
      <alignment horizontal="center" vertical="center" shrinkToFit="1"/>
      <protection locked="0"/>
    </xf>
    <xf numFmtId="0" fontId="15" fillId="0" borderId="11" xfId="0" applyFont="1" applyBorder="1" applyAlignment="1" applyProtection="1">
      <alignment horizontal="center" vertical="center" wrapText="1" shrinkToFit="1"/>
      <protection locked="0"/>
    </xf>
    <xf numFmtId="0" fontId="15" fillId="0" borderId="0" xfId="0" applyFont="1" applyAlignment="1" applyProtection="1">
      <alignment horizontal="center" vertical="center" shrinkToFit="1"/>
      <protection locked="0"/>
    </xf>
    <xf numFmtId="0" fontId="15" fillId="0" borderId="12" xfId="0" applyFont="1" applyBorder="1" applyAlignment="1" applyProtection="1">
      <alignment horizontal="center" vertical="center" shrinkToFit="1"/>
      <protection locked="0"/>
    </xf>
    <xf numFmtId="0" fontId="15" fillId="0" borderId="19" xfId="0" applyFont="1" applyBorder="1" applyAlignment="1" applyProtection="1">
      <alignment horizontal="center" vertical="center" shrinkToFit="1"/>
      <protection locked="0"/>
    </xf>
    <xf numFmtId="0" fontId="15" fillId="0" borderId="20" xfId="0" applyFont="1" applyBorder="1" applyAlignment="1" applyProtection="1">
      <alignment horizontal="center" vertical="center" shrinkToFit="1"/>
      <protection locked="0"/>
    </xf>
    <xf numFmtId="0" fontId="15" fillId="0" borderId="21" xfId="0" applyFont="1" applyBorder="1" applyAlignment="1" applyProtection="1">
      <alignment horizontal="center" vertical="center" shrinkToFit="1"/>
      <protection locked="0"/>
    </xf>
    <xf numFmtId="0" fontId="32" fillId="0" borderId="56" xfId="0" applyFont="1" applyBorder="1" applyAlignment="1" applyProtection="1">
      <alignment horizontal="center" vertical="center"/>
      <protection locked="0"/>
    </xf>
    <xf numFmtId="0" fontId="32" fillId="0" borderId="54" xfId="0" applyFont="1" applyBorder="1" applyAlignment="1" applyProtection="1">
      <alignment horizontal="center" vertical="center"/>
      <protection locked="0"/>
    </xf>
    <xf numFmtId="176" fontId="35" fillId="4" borderId="34" xfId="0" applyNumberFormat="1" applyFont="1" applyFill="1" applyBorder="1" applyAlignment="1">
      <alignment horizontal="right" vertical="center"/>
    </xf>
    <xf numFmtId="176" fontId="35" fillId="4" borderId="35" xfId="0" applyNumberFormat="1" applyFont="1" applyFill="1" applyBorder="1" applyAlignment="1">
      <alignment horizontal="right" vertical="center"/>
    </xf>
    <xf numFmtId="0" fontId="35" fillId="4" borderId="33" xfId="0" applyFont="1" applyFill="1" applyBorder="1">
      <alignment vertical="center"/>
    </xf>
    <xf numFmtId="20" fontId="2" fillId="0" borderId="41" xfId="0" applyNumberFormat="1" applyFont="1" applyBorder="1" applyAlignment="1" applyProtection="1">
      <alignment horizontal="center" vertical="center"/>
      <protection locked="0"/>
    </xf>
    <xf numFmtId="0" fontId="22" fillId="0" borderId="50" xfId="0" applyFont="1" applyBorder="1" applyAlignment="1" applyProtection="1">
      <alignment horizontal="center" vertical="center"/>
      <protection locked="0"/>
    </xf>
    <xf numFmtId="0" fontId="35" fillId="4" borderId="33" xfId="0" applyFont="1" applyFill="1" applyBorder="1" applyAlignment="1">
      <alignment vertical="center" shrinkToFit="1"/>
    </xf>
    <xf numFmtId="178" fontId="35" fillId="4" borderId="33" xfId="0" applyNumberFormat="1" applyFont="1" applyFill="1" applyBorder="1" applyAlignment="1">
      <alignment horizontal="center" vertical="center"/>
    </xf>
    <xf numFmtId="0" fontId="20" fillId="0" borderId="41" xfId="0" applyFont="1" applyBorder="1" applyAlignment="1" applyProtection="1">
      <alignment horizontal="left" vertical="center"/>
      <protection locked="0"/>
    </xf>
    <xf numFmtId="0" fontId="20" fillId="0" borderId="42" xfId="0" applyFont="1" applyBorder="1" applyAlignment="1" applyProtection="1">
      <alignment horizontal="left" vertical="center"/>
      <protection locked="0"/>
    </xf>
    <xf numFmtId="0" fontId="20" fillId="0" borderId="43" xfId="0" applyFont="1" applyBorder="1" applyAlignment="1" applyProtection="1">
      <alignment horizontal="left" vertical="center"/>
      <protection locked="0"/>
    </xf>
    <xf numFmtId="0" fontId="72" fillId="0" borderId="44" xfId="0" applyFont="1" applyBorder="1" applyAlignment="1" applyProtection="1">
      <alignment horizontal="left" vertical="center"/>
      <protection locked="0"/>
    </xf>
    <xf numFmtId="0" fontId="72" fillId="0" borderId="45" xfId="0" applyFont="1" applyBorder="1" applyAlignment="1" applyProtection="1">
      <alignment horizontal="left" vertical="center"/>
      <protection locked="0"/>
    </xf>
    <xf numFmtId="0" fontId="72" fillId="0" borderId="46" xfId="0" applyFont="1" applyBorder="1" applyAlignment="1" applyProtection="1">
      <alignment horizontal="left" vertical="center"/>
      <protection locked="0"/>
    </xf>
    <xf numFmtId="20" fontId="48" fillId="0" borderId="5" xfId="0" applyNumberFormat="1" applyFont="1" applyBorder="1" applyAlignment="1" applyProtection="1">
      <alignment horizontal="left" vertical="top" wrapText="1"/>
      <protection locked="0"/>
    </xf>
    <xf numFmtId="20" fontId="48" fillId="0" borderId="6" xfId="0" applyNumberFormat="1" applyFont="1" applyBorder="1" applyAlignment="1" applyProtection="1">
      <alignment horizontal="left" vertical="top" wrapText="1"/>
      <protection locked="0"/>
    </xf>
    <xf numFmtId="20" fontId="48" fillId="0" borderId="7" xfId="0" applyNumberFormat="1" applyFont="1" applyBorder="1" applyAlignment="1" applyProtection="1">
      <alignment horizontal="left" vertical="top" wrapText="1"/>
      <protection locked="0"/>
    </xf>
    <xf numFmtId="20" fontId="48" fillId="0" borderId="11" xfId="0" applyNumberFormat="1" applyFont="1" applyBorder="1" applyAlignment="1" applyProtection="1">
      <alignment horizontal="left" vertical="top" wrapText="1"/>
      <protection locked="0"/>
    </xf>
    <xf numFmtId="20" fontId="48" fillId="0" borderId="0" xfId="0" applyNumberFormat="1" applyFont="1" applyAlignment="1" applyProtection="1">
      <alignment horizontal="left" vertical="top" wrapText="1"/>
      <protection locked="0"/>
    </xf>
    <xf numFmtId="20" fontId="48" fillId="0" borderId="12" xfId="0" applyNumberFormat="1" applyFont="1" applyBorder="1" applyAlignment="1" applyProtection="1">
      <alignment horizontal="left" vertical="top" wrapText="1"/>
      <protection locked="0"/>
    </xf>
    <xf numFmtId="20" fontId="48" fillId="0" borderId="19" xfId="0" applyNumberFormat="1" applyFont="1" applyBorder="1" applyAlignment="1" applyProtection="1">
      <alignment horizontal="left" vertical="top" wrapText="1"/>
      <protection locked="0"/>
    </xf>
    <xf numFmtId="20" fontId="48" fillId="0" borderId="20" xfId="0" applyNumberFormat="1" applyFont="1" applyBorder="1" applyAlignment="1" applyProtection="1">
      <alignment horizontal="left" vertical="top" wrapText="1"/>
      <protection locked="0"/>
    </xf>
    <xf numFmtId="20" fontId="48" fillId="0" borderId="21" xfId="0" applyNumberFormat="1" applyFont="1" applyBorder="1" applyAlignment="1" applyProtection="1">
      <alignment horizontal="left" vertical="top" wrapText="1"/>
      <protection locked="0"/>
    </xf>
    <xf numFmtId="20" fontId="2" fillId="0" borderId="44" xfId="0" quotePrefix="1" applyNumberFormat="1" applyFont="1" applyBorder="1" applyAlignment="1" applyProtection="1">
      <alignment horizontal="center" vertical="center"/>
      <protection locked="0"/>
    </xf>
    <xf numFmtId="0" fontId="102" fillId="0" borderId="5" xfId="1" applyFont="1" applyBorder="1" applyAlignment="1" applyProtection="1">
      <alignment vertical="top" wrapText="1"/>
      <protection locked="0"/>
    </xf>
    <xf numFmtId="0" fontId="102" fillId="0" borderId="6" xfId="1" applyFont="1" applyBorder="1" applyAlignment="1" applyProtection="1">
      <alignment vertical="top" wrapText="1"/>
      <protection locked="0"/>
    </xf>
    <xf numFmtId="0" fontId="102" fillId="0" borderId="7" xfId="1" applyFont="1" applyBorder="1" applyAlignment="1" applyProtection="1">
      <alignment vertical="top" wrapText="1"/>
      <protection locked="0"/>
    </xf>
    <xf numFmtId="0" fontId="102" fillId="0" borderId="11" xfId="1" applyFont="1" applyBorder="1" applyAlignment="1" applyProtection="1">
      <alignment vertical="top" wrapText="1"/>
      <protection locked="0"/>
    </xf>
    <xf numFmtId="0" fontId="102" fillId="0" borderId="0" xfId="1" applyFont="1" applyAlignment="1" applyProtection="1">
      <alignment vertical="top" wrapText="1"/>
      <protection locked="0"/>
    </xf>
    <xf numFmtId="0" fontId="102" fillId="0" borderId="12" xfId="1" applyFont="1" applyBorder="1" applyAlignment="1" applyProtection="1">
      <alignment vertical="top" wrapText="1"/>
      <protection locked="0"/>
    </xf>
    <xf numFmtId="0" fontId="102" fillId="0" borderId="19" xfId="1" applyFont="1" applyBorder="1" applyAlignment="1" applyProtection="1">
      <alignment vertical="top" wrapText="1"/>
      <protection locked="0"/>
    </xf>
    <xf numFmtId="0" fontId="102" fillId="0" borderId="20" xfId="1" applyFont="1" applyBorder="1" applyAlignment="1" applyProtection="1">
      <alignment vertical="top" wrapText="1"/>
      <protection locked="0"/>
    </xf>
    <xf numFmtId="0" fontId="102" fillId="0" borderId="21" xfId="1" applyFont="1" applyBorder="1" applyAlignment="1" applyProtection="1">
      <alignment vertical="top" wrapText="1"/>
      <protection locked="0"/>
    </xf>
    <xf numFmtId="0" fontId="8" fillId="0" borderId="5" xfId="0" applyFont="1" applyBorder="1" applyAlignment="1" applyProtection="1">
      <alignment horizontal="center" vertical="center" wrapText="1"/>
      <protection locked="0"/>
    </xf>
    <xf numFmtId="0" fontId="38" fillId="0" borderId="25" xfId="0" applyFont="1" applyBorder="1" applyAlignment="1" applyProtection="1">
      <alignment horizontal="center" vertical="center" wrapText="1"/>
      <protection locked="0"/>
    </xf>
    <xf numFmtId="0" fontId="64" fillId="0" borderId="25" xfId="0" applyFont="1" applyBorder="1" applyAlignment="1" applyProtection="1">
      <alignment horizontal="center" vertical="center" wrapText="1"/>
      <protection locked="0"/>
    </xf>
    <xf numFmtId="0" fontId="64" fillId="0" borderId="26" xfId="0" applyFont="1" applyBorder="1" applyAlignment="1" applyProtection="1">
      <alignment horizontal="center" vertical="center" wrapText="1"/>
      <protection locked="0"/>
    </xf>
    <xf numFmtId="0" fontId="64" fillId="0" borderId="28" xfId="0" applyFont="1" applyBorder="1" applyAlignment="1" applyProtection="1">
      <alignment horizontal="center" vertical="center" wrapText="1"/>
      <protection locked="0"/>
    </xf>
    <xf numFmtId="0" fontId="64" fillId="0" borderId="30" xfId="0" applyFont="1" applyBorder="1" applyAlignment="1" applyProtection="1">
      <alignment horizontal="center" vertical="center" wrapText="1"/>
      <protection locked="0"/>
    </xf>
    <xf numFmtId="0" fontId="52" fillId="0" borderId="11" xfId="0" applyFont="1" applyBorder="1" applyAlignment="1" applyProtection="1">
      <alignment horizontal="left" vertical="top" wrapText="1"/>
      <protection locked="0"/>
    </xf>
    <xf numFmtId="0" fontId="52" fillId="0" borderId="0" xfId="0" applyFont="1" applyAlignment="1" applyProtection="1">
      <alignment horizontal="left" vertical="top" wrapText="1"/>
      <protection locked="0"/>
    </xf>
    <xf numFmtId="0" fontId="52" fillId="0" borderId="12" xfId="0" applyFont="1" applyBorder="1" applyAlignment="1" applyProtection="1">
      <alignment horizontal="left" vertical="top" wrapText="1"/>
      <protection locked="0"/>
    </xf>
    <xf numFmtId="0" fontId="52" fillId="0" borderId="19" xfId="0" applyFont="1" applyBorder="1" applyAlignment="1" applyProtection="1">
      <alignment horizontal="left" vertical="top" wrapText="1"/>
      <protection locked="0"/>
    </xf>
    <xf numFmtId="0" fontId="52" fillId="0" borderId="20" xfId="0" applyFont="1" applyBorder="1" applyAlignment="1" applyProtection="1">
      <alignment horizontal="left" vertical="top" wrapText="1"/>
      <protection locked="0"/>
    </xf>
    <xf numFmtId="0" fontId="52" fillId="0" borderId="21" xfId="0" applyFont="1" applyBorder="1" applyAlignment="1" applyProtection="1">
      <alignment horizontal="left" vertical="top" wrapText="1"/>
      <protection locked="0"/>
    </xf>
    <xf numFmtId="0" fontId="64" fillId="0" borderId="25" xfId="0" applyFont="1" applyBorder="1" applyAlignment="1">
      <alignment horizontal="center" vertical="center"/>
    </xf>
    <xf numFmtId="0" fontId="64" fillId="0" borderId="27" xfId="0" applyFont="1" applyBorder="1" applyAlignment="1">
      <alignment horizontal="center" vertical="center"/>
    </xf>
    <xf numFmtId="0" fontId="64" fillId="0" borderId="29" xfId="0" applyFont="1" applyBorder="1" applyAlignment="1">
      <alignment horizontal="center" vertical="center"/>
    </xf>
    <xf numFmtId="176" fontId="86" fillId="0" borderId="27" xfId="0" applyNumberFormat="1" applyFont="1" applyBorder="1" applyAlignment="1" applyProtection="1">
      <alignment horizontal="center" vertical="center" shrinkToFit="1"/>
      <protection locked="0"/>
    </xf>
    <xf numFmtId="0" fontId="37" fillId="0" borderId="26" xfId="0" applyFont="1" applyBorder="1" applyAlignment="1" applyProtection="1">
      <alignment horizontal="center" vertical="top" wrapText="1"/>
      <protection locked="0"/>
    </xf>
    <xf numFmtId="0" fontId="37" fillId="0" borderId="28" xfId="0" applyFont="1" applyBorder="1" applyAlignment="1" applyProtection="1">
      <alignment horizontal="center" vertical="top" wrapText="1"/>
      <protection locked="0"/>
    </xf>
    <xf numFmtId="0" fontId="37" fillId="0" borderId="30" xfId="0" applyFont="1" applyBorder="1" applyAlignment="1" applyProtection="1">
      <alignment horizontal="center" vertical="top" wrapText="1"/>
      <protection locked="0"/>
    </xf>
    <xf numFmtId="0" fontId="87" fillId="0" borderId="5" xfId="0" applyFont="1" applyBorder="1" applyAlignment="1" applyProtection="1">
      <alignment horizontal="left" vertical="top" wrapText="1"/>
      <protection locked="0"/>
    </xf>
    <xf numFmtId="0" fontId="87" fillId="0" borderId="6" xfId="0" applyFont="1" applyBorder="1" applyAlignment="1" applyProtection="1">
      <alignment horizontal="left" vertical="top" wrapText="1"/>
      <protection locked="0"/>
    </xf>
    <xf numFmtId="0" fontId="87" fillId="0" borderId="7" xfId="0" applyFont="1" applyBorder="1" applyAlignment="1" applyProtection="1">
      <alignment horizontal="left" vertical="top" wrapText="1"/>
      <protection locked="0"/>
    </xf>
    <xf numFmtId="0" fontId="87" fillId="0" borderId="11" xfId="0" applyFont="1" applyBorder="1" applyAlignment="1" applyProtection="1">
      <alignment horizontal="left" vertical="top" wrapText="1"/>
      <protection locked="0"/>
    </xf>
    <xf numFmtId="0" fontId="87" fillId="0" borderId="0" xfId="0" applyFont="1" applyAlignment="1" applyProtection="1">
      <alignment horizontal="left" vertical="top" wrapText="1"/>
      <protection locked="0"/>
    </xf>
    <xf numFmtId="0" fontId="87" fillId="0" borderId="12" xfId="0" applyFont="1" applyBorder="1" applyAlignment="1" applyProtection="1">
      <alignment horizontal="left" vertical="top" wrapText="1"/>
      <protection locked="0"/>
    </xf>
    <xf numFmtId="0" fontId="87" fillId="0" borderId="19" xfId="0" applyFont="1" applyBorder="1" applyAlignment="1" applyProtection="1">
      <alignment horizontal="left" vertical="top" wrapText="1"/>
      <protection locked="0"/>
    </xf>
    <xf numFmtId="0" fontId="87" fillId="0" borderId="20" xfId="0" applyFont="1" applyBorder="1" applyAlignment="1" applyProtection="1">
      <alignment horizontal="left" vertical="top" wrapText="1"/>
      <protection locked="0"/>
    </xf>
    <xf numFmtId="0" fontId="87" fillId="0" borderId="21" xfId="0" applyFont="1" applyBorder="1" applyAlignment="1" applyProtection="1">
      <alignment horizontal="left" vertical="top" wrapText="1"/>
      <protection locked="0"/>
    </xf>
    <xf numFmtId="0" fontId="89" fillId="0" borderId="5" xfId="0" applyFont="1" applyBorder="1" applyAlignment="1" applyProtection="1">
      <alignment horizontal="left" vertical="top" wrapText="1"/>
      <protection locked="0"/>
    </xf>
    <xf numFmtId="0" fontId="89" fillId="0" borderId="6" xfId="0" applyFont="1" applyBorder="1" applyAlignment="1" applyProtection="1">
      <alignment horizontal="left" vertical="top" wrapText="1"/>
      <protection locked="0"/>
    </xf>
    <xf numFmtId="0" fontId="89" fillId="0" borderId="7" xfId="0" applyFont="1" applyBorder="1" applyAlignment="1" applyProtection="1">
      <alignment horizontal="left" vertical="top" wrapText="1"/>
      <protection locked="0"/>
    </xf>
    <xf numFmtId="0" fontId="89" fillId="0" borderId="11" xfId="0" applyFont="1" applyBorder="1" applyAlignment="1" applyProtection="1">
      <alignment horizontal="left" vertical="top" wrapText="1"/>
      <protection locked="0"/>
    </xf>
    <xf numFmtId="0" fontId="89" fillId="0" borderId="0" xfId="0" applyFont="1" applyAlignment="1" applyProtection="1">
      <alignment horizontal="left" vertical="top" wrapText="1"/>
      <protection locked="0"/>
    </xf>
    <xf numFmtId="0" fontId="89" fillId="0" borderId="12" xfId="0" applyFont="1" applyBorder="1" applyAlignment="1" applyProtection="1">
      <alignment horizontal="left" vertical="top" wrapText="1"/>
      <protection locked="0"/>
    </xf>
    <xf numFmtId="0" fontId="89" fillId="0" borderId="19" xfId="0" applyFont="1" applyBorder="1" applyAlignment="1" applyProtection="1">
      <alignment horizontal="left" vertical="top" wrapText="1"/>
      <protection locked="0"/>
    </xf>
    <xf numFmtId="0" fontId="89" fillId="0" borderId="20" xfId="0" applyFont="1" applyBorder="1" applyAlignment="1" applyProtection="1">
      <alignment horizontal="left" vertical="top" wrapText="1"/>
      <protection locked="0"/>
    </xf>
    <xf numFmtId="0" fontId="89" fillId="0" borderId="21" xfId="0" applyFont="1" applyBorder="1" applyAlignment="1" applyProtection="1">
      <alignment horizontal="left" vertical="top" wrapText="1"/>
      <protection locked="0"/>
    </xf>
    <xf numFmtId="0" fontId="90" fillId="0" borderId="5" xfId="0" applyFont="1" applyBorder="1" applyAlignment="1" applyProtection="1">
      <alignment horizontal="center" vertical="center" wrapText="1"/>
      <protection locked="0"/>
    </xf>
    <xf numFmtId="0" fontId="91" fillId="0" borderId="6" xfId="0" applyFont="1" applyBorder="1" applyAlignment="1" applyProtection="1">
      <alignment horizontal="center" vertical="center" wrapText="1"/>
      <protection locked="0"/>
    </xf>
    <xf numFmtId="0" fontId="91" fillId="0" borderId="7" xfId="0" applyFont="1" applyBorder="1" applyAlignment="1" applyProtection="1">
      <alignment horizontal="center" vertical="center" wrapText="1"/>
      <protection locked="0"/>
    </xf>
    <xf numFmtId="0" fontId="91" fillId="0" borderId="11" xfId="0" applyFont="1" applyBorder="1" applyAlignment="1" applyProtection="1">
      <alignment horizontal="center" vertical="center" wrapText="1"/>
      <protection locked="0"/>
    </xf>
    <xf numFmtId="0" fontId="91" fillId="0" borderId="0" xfId="0" applyFont="1" applyAlignment="1" applyProtection="1">
      <alignment horizontal="center" vertical="center" wrapText="1"/>
      <protection locked="0"/>
    </xf>
    <xf numFmtId="0" fontId="91" fillId="0" borderId="12" xfId="0" applyFont="1" applyBorder="1" applyAlignment="1" applyProtection="1">
      <alignment horizontal="center" vertical="center" wrapText="1"/>
      <protection locked="0"/>
    </xf>
    <xf numFmtId="0" fontId="91" fillId="0" borderId="39" xfId="0" applyFont="1" applyBorder="1" applyAlignment="1" applyProtection="1">
      <alignment horizontal="center" vertical="center" wrapText="1"/>
      <protection locked="0"/>
    </xf>
    <xf numFmtId="0" fontId="91" fillId="0" borderId="31" xfId="0" applyFont="1" applyBorder="1" applyAlignment="1" applyProtection="1">
      <alignment horizontal="center" vertical="center" wrapText="1"/>
      <protection locked="0"/>
    </xf>
    <xf numFmtId="0" fontId="91" fillId="0" borderId="40" xfId="0" applyFont="1" applyBorder="1" applyAlignment="1" applyProtection="1">
      <alignment horizontal="center" vertical="center" wrapText="1"/>
      <protection locked="0"/>
    </xf>
    <xf numFmtId="0" fontId="37" fillId="0" borderId="26" xfId="0" applyFont="1" applyBorder="1" applyAlignment="1" applyProtection="1">
      <alignment horizontal="left" vertical="top" wrapText="1"/>
      <protection locked="0"/>
    </xf>
    <xf numFmtId="0" fontId="37" fillId="0" borderId="28" xfId="0" applyFont="1" applyBorder="1" applyAlignment="1" applyProtection="1">
      <alignment horizontal="left" vertical="top" wrapText="1"/>
      <protection locked="0"/>
    </xf>
    <xf numFmtId="0" fontId="37" fillId="0" borderId="30" xfId="0" applyFont="1" applyBorder="1" applyAlignment="1" applyProtection="1">
      <alignment horizontal="left" vertical="top" wrapText="1"/>
      <protection locked="0"/>
    </xf>
    <xf numFmtId="0" fontId="92" fillId="0" borderId="41" xfId="0" applyFont="1" applyBorder="1" applyAlignment="1" applyProtection="1">
      <alignment horizontal="left" vertical="center"/>
      <protection locked="0"/>
    </xf>
    <xf numFmtId="0" fontId="92" fillId="0" borderId="42" xfId="0" applyFont="1" applyBorder="1" applyAlignment="1" applyProtection="1">
      <alignment horizontal="left" vertical="center"/>
      <protection locked="0"/>
    </xf>
    <xf numFmtId="0" fontId="92" fillId="0" borderId="43" xfId="0" applyFont="1" applyBorder="1" applyAlignment="1" applyProtection="1">
      <alignment horizontal="left" vertical="center"/>
      <protection locked="0"/>
    </xf>
    <xf numFmtId="0" fontId="92" fillId="0" borderId="44" xfId="0" applyFont="1" applyBorder="1" applyAlignment="1" applyProtection="1">
      <alignment horizontal="left" vertical="center"/>
      <protection locked="0"/>
    </xf>
    <xf numFmtId="0" fontId="92" fillId="0" borderId="45" xfId="0" applyFont="1" applyBorder="1" applyAlignment="1" applyProtection="1">
      <alignment horizontal="left" vertical="center"/>
      <protection locked="0"/>
    </xf>
    <xf numFmtId="0" fontId="92" fillId="0" borderId="46" xfId="0" applyFont="1" applyBorder="1" applyAlignment="1" applyProtection="1">
      <alignment horizontal="left" vertical="center"/>
      <protection locked="0"/>
    </xf>
    <xf numFmtId="20" fontId="93" fillId="0" borderId="41" xfId="0" quotePrefix="1" applyNumberFormat="1" applyFont="1" applyBorder="1" applyAlignment="1" applyProtection="1">
      <alignment horizontal="center" vertical="center"/>
      <protection locked="0"/>
    </xf>
    <xf numFmtId="0" fontId="93" fillId="0" borderId="43" xfId="0" applyFont="1" applyBorder="1" applyAlignment="1" applyProtection="1">
      <alignment horizontal="center" vertical="center"/>
      <protection locked="0"/>
    </xf>
    <xf numFmtId="0" fontId="93" fillId="0" borderId="44" xfId="0" applyFont="1" applyBorder="1" applyAlignment="1" applyProtection="1">
      <alignment horizontal="center" vertical="center"/>
      <protection locked="0"/>
    </xf>
    <xf numFmtId="0" fontId="93" fillId="0" borderId="46" xfId="0" applyFont="1" applyBorder="1" applyAlignment="1" applyProtection="1">
      <alignment horizontal="center" vertical="center"/>
      <protection locked="0"/>
    </xf>
    <xf numFmtId="0" fontId="91" fillId="0" borderId="50" xfId="0" applyFont="1" applyBorder="1" applyAlignment="1" applyProtection="1">
      <alignment horizontal="center" vertical="center"/>
      <protection locked="0"/>
    </xf>
    <xf numFmtId="0" fontId="91" fillId="0" borderId="54" xfId="0" applyFont="1" applyBorder="1" applyAlignment="1" applyProtection="1">
      <alignment horizontal="center" vertical="center"/>
      <protection locked="0"/>
    </xf>
    <xf numFmtId="20" fontId="93" fillId="0" borderId="44" xfId="0" applyNumberFormat="1" applyFont="1" applyBorder="1" applyAlignment="1" applyProtection="1">
      <alignment horizontal="center" vertical="center"/>
      <protection locked="0"/>
    </xf>
    <xf numFmtId="177" fontId="86" fillId="0" borderId="27" xfId="0" applyNumberFormat="1" applyFont="1" applyBorder="1" applyAlignment="1" applyProtection="1">
      <alignment horizontal="center" vertical="center"/>
      <protection locked="0"/>
    </xf>
    <xf numFmtId="177" fontId="86" fillId="0" borderId="29" xfId="0" applyNumberFormat="1" applyFont="1" applyBorder="1" applyAlignment="1" applyProtection="1">
      <alignment horizontal="center" vertical="center"/>
      <protection locked="0"/>
    </xf>
    <xf numFmtId="0" fontId="90" fillId="0" borderId="27" xfId="0" applyFont="1" applyBorder="1" applyAlignment="1" applyProtection="1">
      <alignment horizontal="center" vertical="center" shrinkToFit="1"/>
      <protection locked="0"/>
    </xf>
    <xf numFmtId="0" fontId="91" fillId="0" borderId="29" xfId="0" applyFont="1" applyBorder="1" applyAlignment="1" applyProtection="1">
      <alignment horizontal="center" vertical="center" shrinkToFit="1"/>
      <protection locked="0"/>
    </xf>
    <xf numFmtId="0" fontId="90" fillId="0" borderId="11" xfId="0" applyFont="1" applyBorder="1" applyAlignment="1" applyProtection="1">
      <alignment horizontal="center" vertical="center" shrinkToFit="1"/>
      <protection locked="0"/>
    </xf>
    <xf numFmtId="0" fontId="91" fillId="0" borderId="0" xfId="0" applyFont="1" applyAlignment="1" applyProtection="1">
      <alignment horizontal="center" vertical="center" shrinkToFit="1"/>
      <protection locked="0"/>
    </xf>
    <xf numFmtId="0" fontId="91" fillId="0" borderId="12" xfId="0" applyFont="1" applyBorder="1" applyAlignment="1" applyProtection="1">
      <alignment horizontal="center" vertical="center" shrinkToFit="1"/>
      <protection locked="0"/>
    </xf>
    <xf numFmtId="0" fontId="91" fillId="0" borderId="19" xfId="0" applyFont="1" applyBorder="1" applyAlignment="1" applyProtection="1">
      <alignment horizontal="center" vertical="center" shrinkToFit="1"/>
      <protection locked="0"/>
    </xf>
    <xf numFmtId="0" fontId="91" fillId="0" borderId="20" xfId="0" applyFont="1" applyBorder="1" applyAlignment="1" applyProtection="1">
      <alignment horizontal="center" vertical="center" shrinkToFit="1"/>
      <protection locked="0"/>
    </xf>
    <xf numFmtId="0" fontId="91" fillId="0" borderId="21" xfId="0" applyFont="1" applyBorder="1" applyAlignment="1" applyProtection="1">
      <alignment horizontal="center" vertical="center" shrinkToFit="1"/>
      <protection locked="0"/>
    </xf>
    <xf numFmtId="0" fontId="92" fillId="0" borderId="47" xfId="0" applyFont="1" applyBorder="1" applyAlignment="1" applyProtection="1">
      <alignment horizontal="left" vertical="center"/>
      <protection locked="0"/>
    </xf>
    <xf numFmtId="0" fontId="92" fillId="0" borderId="48" xfId="0" applyFont="1" applyBorder="1" applyAlignment="1" applyProtection="1">
      <alignment horizontal="left" vertical="center"/>
      <protection locked="0"/>
    </xf>
    <xf numFmtId="0" fontId="92" fillId="0" borderId="49" xfId="0" applyFont="1" applyBorder="1" applyAlignment="1" applyProtection="1">
      <alignment horizontal="left" vertical="center"/>
      <protection locked="0"/>
    </xf>
    <xf numFmtId="0" fontId="93" fillId="0" borderId="47" xfId="0" applyFont="1" applyBorder="1" applyAlignment="1" applyProtection="1">
      <alignment horizontal="center" vertical="center"/>
      <protection locked="0"/>
    </xf>
    <xf numFmtId="0" fontId="93" fillId="0" borderId="49" xfId="0" applyFont="1" applyBorder="1" applyAlignment="1" applyProtection="1">
      <alignment horizontal="center" vertical="center"/>
      <protection locked="0"/>
    </xf>
    <xf numFmtId="0" fontId="91" fillId="0" borderId="55" xfId="0" applyFont="1" applyBorder="1" applyAlignment="1" applyProtection="1">
      <alignment horizontal="center" vertical="center"/>
      <protection locked="0"/>
    </xf>
    <xf numFmtId="176" fontId="86" fillId="0" borderId="25" xfId="0" applyNumberFormat="1" applyFont="1" applyBorder="1" applyAlignment="1" applyProtection="1">
      <alignment horizontal="center" vertical="center" shrinkToFit="1"/>
      <protection locked="0"/>
    </xf>
    <xf numFmtId="0" fontId="94" fillId="0" borderId="5" xfId="0" applyFont="1" applyBorder="1" applyAlignment="1" applyProtection="1">
      <alignment horizontal="left" vertical="top" wrapText="1"/>
      <protection locked="0"/>
    </xf>
    <xf numFmtId="0" fontId="94" fillId="0" borderId="6" xfId="0" applyFont="1" applyBorder="1" applyAlignment="1" applyProtection="1">
      <alignment horizontal="left" vertical="top" wrapText="1"/>
      <protection locked="0"/>
    </xf>
    <xf numFmtId="0" fontId="94" fillId="0" borderId="7" xfId="0" applyFont="1" applyBorder="1" applyAlignment="1" applyProtection="1">
      <alignment horizontal="left" vertical="top" wrapText="1"/>
      <protection locked="0"/>
    </xf>
    <xf numFmtId="0" fontId="94" fillId="0" borderId="11" xfId="0" applyFont="1" applyBorder="1" applyAlignment="1" applyProtection="1">
      <alignment horizontal="left" vertical="top" wrapText="1"/>
      <protection locked="0"/>
    </xf>
    <xf numFmtId="0" fontId="94" fillId="0" borderId="0" xfId="0" applyFont="1" applyAlignment="1" applyProtection="1">
      <alignment horizontal="left" vertical="top" wrapText="1"/>
      <protection locked="0"/>
    </xf>
    <xf numFmtId="0" fontId="94" fillId="0" borderId="12" xfId="0" applyFont="1" applyBorder="1" applyAlignment="1" applyProtection="1">
      <alignment horizontal="left" vertical="top" wrapText="1"/>
      <protection locked="0"/>
    </xf>
    <xf numFmtId="0" fontId="94" fillId="0" borderId="19" xfId="0" applyFont="1" applyBorder="1" applyAlignment="1" applyProtection="1">
      <alignment horizontal="left" vertical="top" wrapText="1"/>
      <protection locked="0"/>
    </xf>
    <xf numFmtId="0" fontId="94" fillId="0" borderId="20" xfId="0" applyFont="1" applyBorder="1" applyAlignment="1" applyProtection="1">
      <alignment horizontal="left" vertical="top" wrapText="1"/>
      <protection locked="0"/>
    </xf>
    <xf numFmtId="0" fontId="94" fillId="0" borderId="21" xfId="0" applyFont="1" applyBorder="1" applyAlignment="1" applyProtection="1">
      <alignment horizontal="left" vertical="top" wrapText="1"/>
      <protection locked="0"/>
    </xf>
    <xf numFmtId="0" fontId="85" fillId="0" borderId="5" xfId="1" applyFont="1" applyBorder="1" applyAlignment="1" applyProtection="1">
      <alignment vertical="top" wrapText="1"/>
      <protection locked="0"/>
    </xf>
    <xf numFmtId="0" fontId="85" fillId="0" borderId="6" xfId="1" applyFont="1" applyBorder="1" applyAlignment="1" applyProtection="1">
      <alignment vertical="top" wrapText="1"/>
      <protection locked="0"/>
    </xf>
    <xf numFmtId="0" fontId="85" fillId="0" borderId="7" xfId="1" applyFont="1" applyBorder="1" applyAlignment="1" applyProtection="1">
      <alignment vertical="top" wrapText="1"/>
      <protection locked="0"/>
    </xf>
    <xf numFmtId="0" fontId="85" fillId="0" borderId="11" xfId="1" applyFont="1" applyBorder="1" applyAlignment="1" applyProtection="1">
      <alignment vertical="top" wrapText="1"/>
      <protection locked="0"/>
    </xf>
    <xf numFmtId="0" fontId="85" fillId="0" borderId="0" xfId="1" applyFont="1" applyAlignment="1" applyProtection="1">
      <alignment vertical="top" wrapText="1"/>
      <protection locked="0"/>
    </xf>
    <xf numFmtId="0" fontId="85" fillId="0" borderId="12" xfId="1" applyFont="1" applyBorder="1" applyAlignment="1" applyProtection="1">
      <alignment vertical="top" wrapText="1"/>
      <protection locked="0"/>
    </xf>
    <xf numFmtId="0" fontId="92" fillId="0" borderId="39" xfId="0" applyFont="1" applyBorder="1" applyAlignment="1" applyProtection="1">
      <alignment horizontal="left" vertical="center"/>
      <protection locked="0"/>
    </xf>
    <xf numFmtId="0" fontId="92" fillId="0" borderId="31" xfId="0" applyFont="1" applyBorder="1" applyAlignment="1" applyProtection="1">
      <alignment horizontal="left" vertical="center"/>
      <protection locked="0"/>
    </xf>
    <xf numFmtId="0" fontId="92" fillId="0" borderId="40" xfId="0" applyFont="1" applyBorder="1" applyAlignment="1" applyProtection="1">
      <alignment horizontal="left" vertical="center"/>
      <protection locked="0"/>
    </xf>
    <xf numFmtId="20" fontId="93" fillId="0" borderId="39" xfId="0" applyNumberFormat="1" applyFont="1" applyBorder="1" applyAlignment="1" applyProtection="1">
      <alignment horizontal="center" vertical="center"/>
      <protection locked="0"/>
    </xf>
    <xf numFmtId="0" fontId="93" fillId="0" borderId="40" xfId="0" applyFont="1" applyBorder="1" applyAlignment="1" applyProtection="1">
      <alignment horizontal="center" vertical="center"/>
      <protection locked="0"/>
    </xf>
    <xf numFmtId="0" fontId="91" fillId="0" borderId="56" xfId="0" applyFont="1" applyBorder="1" applyAlignment="1" applyProtection="1">
      <alignment horizontal="center" vertical="center"/>
      <protection locked="0"/>
    </xf>
    <xf numFmtId="0" fontId="97" fillId="0" borderId="5" xfId="0" applyFont="1" applyBorder="1" applyAlignment="1" applyProtection="1">
      <alignment horizontal="left" vertical="top" wrapText="1"/>
      <protection locked="0"/>
    </xf>
    <xf numFmtId="0" fontId="97" fillId="0" borderId="6" xfId="0" applyFont="1" applyBorder="1" applyAlignment="1" applyProtection="1">
      <alignment horizontal="left" vertical="top" wrapText="1"/>
      <protection locked="0"/>
    </xf>
    <xf numFmtId="0" fontId="97" fillId="0" borderId="7" xfId="0" applyFont="1" applyBorder="1" applyAlignment="1" applyProtection="1">
      <alignment horizontal="left" vertical="top" wrapText="1"/>
      <protection locked="0"/>
    </xf>
    <xf numFmtId="0" fontId="97" fillId="0" borderId="11" xfId="0" applyFont="1" applyBorder="1" applyAlignment="1" applyProtection="1">
      <alignment horizontal="left" vertical="top" wrapText="1"/>
      <protection locked="0"/>
    </xf>
    <xf numFmtId="0" fontId="97" fillId="0" borderId="0" xfId="0" applyFont="1" applyAlignment="1" applyProtection="1">
      <alignment horizontal="left" vertical="top" wrapText="1"/>
      <protection locked="0"/>
    </xf>
    <xf numFmtId="0" fontId="97" fillId="0" borderId="12" xfId="0" applyFont="1" applyBorder="1" applyAlignment="1" applyProtection="1">
      <alignment horizontal="left" vertical="top" wrapText="1"/>
      <protection locked="0"/>
    </xf>
    <xf numFmtId="0" fontId="97" fillId="0" borderId="19" xfId="0" applyFont="1" applyBorder="1" applyAlignment="1" applyProtection="1">
      <alignment horizontal="left" vertical="top" wrapText="1"/>
      <protection locked="0"/>
    </xf>
    <xf numFmtId="0" fontId="97" fillId="0" borderId="20" xfId="0" applyFont="1" applyBorder="1" applyAlignment="1" applyProtection="1">
      <alignment horizontal="left" vertical="top" wrapText="1"/>
      <protection locked="0"/>
    </xf>
    <xf numFmtId="0" fontId="97" fillId="0" borderId="21" xfId="0" applyFont="1" applyBorder="1" applyAlignment="1" applyProtection="1">
      <alignment horizontal="left" vertical="top" wrapText="1"/>
      <protection locked="0"/>
    </xf>
    <xf numFmtId="0" fontId="85" fillId="0" borderId="5" xfId="0" applyFont="1" applyBorder="1" applyAlignment="1" applyProtection="1">
      <alignment horizontal="left" vertical="top" wrapText="1"/>
      <protection locked="0"/>
    </xf>
    <xf numFmtId="0" fontId="85" fillId="0" borderId="6" xfId="0" applyFont="1" applyBorder="1" applyAlignment="1" applyProtection="1">
      <alignment horizontal="left" vertical="top" wrapText="1"/>
      <protection locked="0"/>
    </xf>
    <xf numFmtId="0" fontId="85" fillId="0" borderId="7" xfId="0" applyFont="1" applyBorder="1" applyAlignment="1" applyProtection="1">
      <alignment horizontal="left" vertical="top" wrapText="1"/>
      <protection locked="0"/>
    </xf>
    <xf numFmtId="0" fontId="85" fillId="0" borderId="11" xfId="0" applyFont="1" applyBorder="1" applyAlignment="1" applyProtection="1">
      <alignment horizontal="left" vertical="top" wrapText="1"/>
      <protection locked="0"/>
    </xf>
    <xf numFmtId="0" fontId="85" fillId="0" borderId="0" xfId="0" applyFont="1" applyAlignment="1" applyProtection="1">
      <alignment horizontal="left" vertical="top" wrapText="1"/>
      <protection locked="0"/>
    </xf>
    <xf numFmtId="0" fontId="85" fillId="0" borderId="12" xfId="0" applyFont="1" applyBorder="1" applyAlignment="1" applyProtection="1">
      <alignment horizontal="left" vertical="top" wrapText="1"/>
      <protection locked="0"/>
    </xf>
    <xf numFmtId="20" fontId="99" fillId="0" borderId="39" xfId="0" quotePrefix="1" applyNumberFormat="1" applyFont="1" applyBorder="1" applyAlignment="1" applyProtection="1">
      <alignment horizontal="center" vertical="center" shrinkToFit="1"/>
      <protection locked="0"/>
    </xf>
    <xf numFmtId="0" fontId="99" fillId="0" borderId="40" xfId="0" applyFont="1" applyBorder="1" applyAlignment="1" applyProtection="1">
      <alignment horizontal="center" vertical="center" shrinkToFit="1"/>
      <protection locked="0"/>
    </xf>
    <xf numFmtId="0" fontId="99" fillId="0" borderId="44" xfId="0" applyFont="1" applyBorder="1" applyAlignment="1" applyProtection="1">
      <alignment horizontal="center" vertical="center" shrinkToFit="1"/>
      <protection locked="0"/>
    </xf>
    <xf numFmtId="0" fontId="99" fillId="0" borderId="46" xfId="0" applyFont="1" applyBorder="1" applyAlignment="1" applyProtection="1">
      <alignment horizontal="center" vertical="center" shrinkToFit="1"/>
      <protection locked="0"/>
    </xf>
    <xf numFmtId="20" fontId="93" fillId="0" borderId="44" xfId="0" quotePrefix="1" applyNumberFormat="1" applyFont="1" applyBorder="1" applyAlignment="1" applyProtection="1">
      <alignment horizontal="center" vertical="center"/>
      <protection locked="0"/>
    </xf>
    <xf numFmtId="0" fontId="37" fillId="0" borderId="5" xfId="0" applyFont="1" applyBorder="1" applyAlignment="1" applyProtection="1">
      <alignment horizontal="center" vertical="top" wrapText="1"/>
      <protection locked="0"/>
    </xf>
    <xf numFmtId="0" fontId="37" fillId="0" borderId="7" xfId="0" applyFont="1" applyBorder="1" applyAlignment="1" applyProtection="1">
      <alignment horizontal="center" vertical="top" wrapText="1"/>
      <protection locked="0"/>
    </xf>
    <xf numFmtId="0" fontId="37" fillId="0" borderId="11" xfId="0" applyFont="1" applyBorder="1" applyAlignment="1" applyProtection="1">
      <alignment horizontal="center" vertical="top" wrapText="1"/>
      <protection locked="0"/>
    </xf>
    <xf numFmtId="0" fontId="37" fillId="0" borderId="12" xfId="0" applyFont="1" applyBorder="1" applyAlignment="1" applyProtection="1">
      <alignment horizontal="center" vertical="top" wrapText="1"/>
      <protection locked="0"/>
    </xf>
    <xf numFmtId="0" fontId="37" fillId="0" borderId="19" xfId="0" applyFont="1" applyBorder="1" applyAlignment="1" applyProtection="1">
      <alignment horizontal="center" vertical="top" wrapText="1"/>
      <protection locked="0"/>
    </xf>
    <xf numFmtId="0" fontId="37" fillId="0" borderId="21" xfId="0" applyFont="1" applyBorder="1" applyAlignment="1" applyProtection="1">
      <alignment horizontal="center" vertical="top" wrapText="1"/>
      <protection locked="0"/>
    </xf>
    <xf numFmtId="0" fontId="85" fillId="0" borderId="19" xfId="1" applyFont="1" applyBorder="1" applyAlignment="1" applyProtection="1">
      <alignment vertical="top" wrapText="1"/>
      <protection locked="0"/>
    </xf>
    <xf numFmtId="0" fontId="85" fillId="0" borderId="20" xfId="1" applyFont="1" applyBorder="1" applyAlignment="1" applyProtection="1">
      <alignment vertical="top" wrapText="1"/>
      <protection locked="0"/>
    </xf>
    <xf numFmtId="0" fontId="85" fillId="0" borderId="21" xfId="1" applyFont="1" applyBorder="1" applyAlignment="1" applyProtection="1">
      <alignment vertical="top" wrapText="1"/>
      <protection locked="0"/>
    </xf>
    <xf numFmtId="0" fontId="85" fillId="0" borderId="19" xfId="0" applyFont="1" applyBorder="1" applyAlignment="1" applyProtection="1">
      <alignment horizontal="left" vertical="top" wrapText="1"/>
      <protection locked="0"/>
    </xf>
    <xf numFmtId="0" fontId="85" fillId="0" borderId="20" xfId="0" applyFont="1" applyBorder="1" applyAlignment="1" applyProtection="1">
      <alignment horizontal="left" vertical="top" wrapText="1"/>
      <protection locked="0"/>
    </xf>
    <xf numFmtId="0" fontId="85" fillId="0" borderId="21" xfId="0" applyFont="1" applyBorder="1" applyAlignment="1" applyProtection="1">
      <alignment horizontal="left" vertical="top" wrapText="1"/>
      <protection locked="0"/>
    </xf>
    <xf numFmtId="0" fontId="90" fillId="0" borderId="6" xfId="0" applyFont="1" applyBorder="1" applyAlignment="1" applyProtection="1">
      <alignment horizontal="center" vertical="center" wrapText="1"/>
      <protection locked="0"/>
    </xf>
    <xf numFmtId="0" fontId="90" fillId="0" borderId="7" xfId="0" applyFont="1" applyBorder="1" applyAlignment="1" applyProtection="1">
      <alignment horizontal="center" vertical="center" wrapText="1"/>
      <protection locked="0"/>
    </xf>
    <xf numFmtId="0" fontId="90" fillId="0" borderId="11" xfId="0" applyFont="1" applyBorder="1" applyAlignment="1" applyProtection="1">
      <alignment horizontal="center" vertical="center" wrapText="1"/>
      <protection locked="0"/>
    </xf>
    <xf numFmtId="0" fontId="90" fillId="0" borderId="0" xfId="0" applyFont="1" applyAlignment="1" applyProtection="1">
      <alignment horizontal="center" vertical="center" wrapText="1"/>
      <protection locked="0"/>
    </xf>
    <xf numFmtId="0" fontId="90" fillId="0" borderId="12" xfId="0" applyFont="1" applyBorder="1" applyAlignment="1" applyProtection="1">
      <alignment horizontal="center" vertical="center" wrapText="1"/>
      <protection locked="0"/>
    </xf>
    <xf numFmtId="0" fontId="90" fillId="0" borderId="39" xfId="0" applyFont="1" applyBorder="1" applyAlignment="1" applyProtection="1">
      <alignment horizontal="center" vertical="center" wrapText="1"/>
      <protection locked="0"/>
    </xf>
    <xf numFmtId="0" fontId="90" fillId="0" borderId="31" xfId="0" applyFont="1" applyBorder="1" applyAlignment="1" applyProtection="1">
      <alignment horizontal="center" vertical="center" wrapText="1"/>
      <protection locked="0"/>
    </xf>
    <xf numFmtId="0" fontId="90" fillId="0" borderId="40" xfId="0" applyFont="1" applyBorder="1" applyAlignment="1" applyProtection="1">
      <alignment horizontal="center" vertical="center" wrapText="1"/>
      <protection locked="0"/>
    </xf>
    <xf numFmtId="0" fontId="90" fillId="0" borderId="29" xfId="0" applyFont="1" applyBorder="1" applyAlignment="1" applyProtection="1">
      <alignment horizontal="center" vertical="center" shrinkToFit="1"/>
      <protection locked="0"/>
    </xf>
    <xf numFmtId="0" fontId="90" fillId="0" borderId="11" xfId="0" applyFont="1" applyBorder="1" applyAlignment="1" applyProtection="1">
      <alignment horizontal="center" vertical="center" wrapText="1" shrinkToFit="1"/>
      <protection locked="0"/>
    </xf>
    <xf numFmtId="0" fontId="90" fillId="0" borderId="0" xfId="0" applyFont="1" applyAlignment="1" applyProtection="1">
      <alignment horizontal="center" vertical="center" shrinkToFit="1"/>
      <protection locked="0"/>
    </xf>
    <xf numFmtId="0" fontId="90" fillId="0" borderId="12" xfId="0" applyFont="1" applyBorder="1" applyAlignment="1" applyProtection="1">
      <alignment horizontal="center" vertical="center" shrinkToFit="1"/>
      <protection locked="0"/>
    </xf>
    <xf numFmtId="0" fontId="90" fillId="0" borderId="19" xfId="0" applyFont="1" applyBorder="1" applyAlignment="1" applyProtection="1">
      <alignment horizontal="center" vertical="center" shrinkToFit="1"/>
      <protection locked="0"/>
    </xf>
    <xf numFmtId="0" fontId="90" fillId="0" borderId="20" xfId="0" applyFont="1" applyBorder="1" applyAlignment="1" applyProtection="1">
      <alignment horizontal="center" vertical="center" shrinkToFit="1"/>
      <protection locked="0"/>
    </xf>
    <xf numFmtId="0" fontId="90" fillId="0" borderId="21" xfId="0" applyFont="1" applyBorder="1" applyAlignment="1" applyProtection="1">
      <alignment horizontal="center" vertical="center" shrinkToFit="1"/>
      <protection locked="0"/>
    </xf>
    <xf numFmtId="20" fontId="93" fillId="0" borderId="41" xfId="0" applyNumberFormat="1" applyFont="1" applyBorder="1" applyAlignment="1" applyProtection="1">
      <alignment horizontal="center" vertical="center"/>
      <protection locked="0"/>
    </xf>
    <xf numFmtId="0" fontId="100" fillId="0" borderId="44" xfId="0" applyFont="1" applyBorder="1" applyAlignment="1" applyProtection="1">
      <alignment horizontal="left" vertical="center"/>
      <protection locked="0"/>
    </xf>
    <xf numFmtId="0" fontId="100" fillId="0" borderId="45" xfId="0" applyFont="1" applyBorder="1" applyAlignment="1" applyProtection="1">
      <alignment horizontal="left" vertical="center"/>
      <protection locked="0"/>
    </xf>
    <xf numFmtId="0" fontId="100" fillId="0" borderId="46" xfId="0" applyFont="1" applyBorder="1" applyAlignment="1" applyProtection="1">
      <alignment horizontal="left" vertical="center"/>
      <protection locked="0"/>
    </xf>
    <xf numFmtId="20" fontId="97" fillId="0" borderId="5" xfId="0" applyNumberFormat="1" applyFont="1" applyBorder="1" applyAlignment="1" applyProtection="1">
      <alignment horizontal="left" vertical="top" wrapText="1"/>
      <protection locked="0"/>
    </xf>
    <xf numFmtId="20" fontId="97" fillId="0" borderId="6" xfId="0" applyNumberFormat="1" applyFont="1" applyBorder="1" applyAlignment="1" applyProtection="1">
      <alignment horizontal="left" vertical="top" wrapText="1"/>
      <protection locked="0"/>
    </xf>
    <xf numFmtId="20" fontId="97" fillId="0" borderId="7" xfId="0" applyNumberFormat="1" applyFont="1" applyBorder="1" applyAlignment="1" applyProtection="1">
      <alignment horizontal="left" vertical="top" wrapText="1"/>
      <protection locked="0"/>
    </xf>
    <xf numFmtId="20" fontId="97" fillId="0" borderId="11" xfId="0" applyNumberFormat="1" applyFont="1" applyBorder="1" applyAlignment="1" applyProtection="1">
      <alignment horizontal="left" vertical="top" wrapText="1"/>
      <protection locked="0"/>
    </xf>
    <xf numFmtId="20" fontId="97" fillId="0" borderId="0" xfId="0" applyNumberFormat="1" applyFont="1" applyAlignment="1" applyProtection="1">
      <alignment horizontal="left" vertical="top" wrapText="1"/>
      <protection locked="0"/>
    </xf>
    <xf numFmtId="20" fontId="97" fillId="0" borderId="12" xfId="0" applyNumberFormat="1" applyFont="1" applyBorder="1" applyAlignment="1" applyProtection="1">
      <alignment horizontal="left" vertical="top" wrapText="1"/>
      <protection locked="0"/>
    </xf>
    <xf numFmtId="20" fontId="97" fillId="0" borderId="19" xfId="0" applyNumberFormat="1" applyFont="1" applyBorder="1" applyAlignment="1" applyProtection="1">
      <alignment horizontal="left" vertical="top" wrapText="1"/>
      <protection locked="0"/>
    </xf>
    <xf numFmtId="20" fontId="97" fillId="0" borderId="20" xfId="0" applyNumberFormat="1" applyFont="1" applyBorder="1" applyAlignment="1" applyProtection="1">
      <alignment horizontal="left" vertical="top" wrapText="1"/>
      <protection locked="0"/>
    </xf>
    <xf numFmtId="20" fontId="97" fillId="0" borderId="21" xfId="0" applyNumberFormat="1" applyFont="1" applyBorder="1" applyAlignment="1" applyProtection="1">
      <alignment horizontal="left" vertical="top" wrapText="1"/>
      <protection locked="0"/>
    </xf>
    <xf numFmtId="0" fontId="37" fillId="0" borderId="5" xfId="1" applyFont="1" applyBorder="1" applyAlignment="1" applyProtection="1">
      <alignment vertical="top" wrapText="1"/>
      <protection locked="0"/>
    </xf>
    <xf numFmtId="0" fontId="37" fillId="0" borderId="6" xfId="1" applyFont="1" applyBorder="1" applyAlignment="1" applyProtection="1">
      <alignment vertical="top" wrapText="1"/>
      <protection locked="0"/>
    </xf>
    <xf numFmtId="0" fontId="37" fillId="0" borderId="7" xfId="1" applyFont="1" applyBorder="1" applyAlignment="1" applyProtection="1">
      <alignment vertical="top" wrapText="1"/>
      <protection locked="0"/>
    </xf>
    <xf numFmtId="0" fontId="37" fillId="0" borderId="11" xfId="1" applyFont="1" applyBorder="1" applyAlignment="1" applyProtection="1">
      <alignment vertical="top" wrapText="1"/>
      <protection locked="0"/>
    </xf>
    <xf numFmtId="0" fontId="37" fillId="0" borderId="0" xfId="1" applyFont="1" applyAlignment="1" applyProtection="1">
      <alignment vertical="top" wrapText="1"/>
      <protection locked="0"/>
    </xf>
    <xf numFmtId="0" fontId="37" fillId="0" borderId="12" xfId="1" applyFont="1" applyBorder="1" applyAlignment="1" applyProtection="1">
      <alignment vertical="top" wrapText="1"/>
      <protection locked="0"/>
    </xf>
    <xf numFmtId="0" fontId="37" fillId="0" borderId="19" xfId="1" applyFont="1" applyBorder="1" applyAlignment="1" applyProtection="1">
      <alignment vertical="top" wrapText="1"/>
      <protection locked="0"/>
    </xf>
    <xf numFmtId="0" fontId="37" fillId="0" borderId="20" xfId="1" applyFont="1" applyBorder="1" applyAlignment="1" applyProtection="1">
      <alignment vertical="top" wrapText="1"/>
      <protection locked="0"/>
    </xf>
    <xf numFmtId="0" fontId="37" fillId="0" borderId="21" xfId="1" applyFont="1" applyBorder="1" applyAlignment="1" applyProtection="1">
      <alignment vertical="top" wrapText="1"/>
      <protection locked="0"/>
    </xf>
    <xf numFmtId="0" fontId="91" fillId="0" borderId="5" xfId="0" applyFont="1" applyBorder="1" applyAlignment="1" applyProtection="1">
      <alignment horizontal="center" vertical="center" wrapText="1"/>
      <protection locked="0"/>
    </xf>
    <xf numFmtId="0" fontId="98" fillId="0" borderId="11" xfId="0" applyFont="1" applyBorder="1" applyAlignment="1" applyProtection="1">
      <alignment horizontal="left" vertical="top" wrapText="1"/>
      <protection locked="0"/>
    </xf>
    <xf numFmtId="0" fontId="98" fillId="0" borderId="0" xfId="0" applyFont="1" applyAlignment="1" applyProtection="1">
      <alignment horizontal="left" vertical="top" wrapText="1"/>
      <protection locked="0"/>
    </xf>
    <xf numFmtId="0" fontId="98" fillId="0" borderId="12" xfId="0" applyFont="1" applyBorder="1" applyAlignment="1" applyProtection="1">
      <alignment horizontal="left" vertical="top" wrapText="1"/>
      <protection locked="0"/>
    </xf>
    <xf numFmtId="0" fontId="98" fillId="0" borderId="19" xfId="0" applyFont="1" applyBorder="1" applyAlignment="1" applyProtection="1">
      <alignment horizontal="left" vertical="top" wrapText="1"/>
      <protection locked="0"/>
    </xf>
    <xf numFmtId="0" fontId="98" fillId="0" borderId="20" xfId="0" applyFont="1" applyBorder="1" applyAlignment="1" applyProtection="1">
      <alignment horizontal="left" vertical="top" wrapText="1"/>
      <protection locked="0"/>
    </xf>
    <xf numFmtId="0" fontId="98" fillId="0" borderId="21" xfId="0" applyFont="1" applyBorder="1" applyAlignment="1" applyProtection="1">
      <alignment horizontal="left" vertical="top" wrapText="1"/>
      <protection locked="0"/>
    </xf>
    <xf numFmtId="0" fontId="55" fillId="5" borderId="0" xfId="1" applyFont="1" applyFill="1" applyAlignment="1">
      <alignment vertical="center" wrapText="1"/>
    </xf>
    <xf numFmtId="0" fontId="55" fillId="0" borderId="0" xfId="3" applyFont="1">
      <alignment vertical="center"/>
    </xf>
    <xf numFmtId="20" fontId="55" fillId="0" borderId="1" xfId="2" applyNumberFormat="1" applyFont="1" applyBorder="1" applyAlignment="1">
      <alignment horizontal="center" vertical="center"/>
    </xf>
    <xf numFmtId="0" fontId="0" fillId="0" borderId="3" xfId="0" applyBorder="1" applyAlignment="1"/>
    <xf numFmtId="0" fontId="0" fillId="0" borderId="4" xfId="0" applyBorder="1" applyAlignment="1"/>
    <xf numFmtId="0" fontId="55" fillId="0" borderId="1" xfId="5" applyFont="1" applyBorder="1" applyAlignment="1">
      <alignment vertical="center" wrapText="1"/>
    </xf>
    <xf numFmtId="20" fontId="55" fillId="0" borderId="25" xfId="2" applyNumberFormat="1" applyFont="1" applyBorder="1" applyAlignment="1">
      <alignment horizontal="center" vertical="center"/>
    </xf>
    <xf numFmtId="0" fontId="0" fillId="0" borderId="6" xfId="0" applyBorder="1" applyAlignment="1"/>
    <xf numFmtId="0" fontId="0" fillId="0" borderId="7" xfId="0" applyBorder="1" applyAlignment="1"/>
    <xf numFmtId="0" fontId="55" fillId="4" borderId="25" xfId="3" applyFont="1" applyFill="1" applyBorder="1" applyAlignment="1">
      <alignment horizontal="left" vertical="center"/>
    </xf>
    <xf numFmtId="0" fontId="55" fillId="4" borderId="1" xfId="3" applyFont="1" applyFill="1" applyBorder="1" applyAlignment="1">
      <alignment horizontal="left" vertical="center"/>
    </xf>
    <xf numFmtId="0" fontId="55" fillId="0" borderId="19" xfId="5" applyFont="1" applyBorder="1" applyAlignment="1">
      <alignment horizontal="left" vertical="center" wrapText="1"/>
    </xf>
    <xf numFmtId="0" fontId="0" fillId="0" borderId="20" xfId="0" applyBorder="1" applyAlignment="1"/>
    <xf numFmtId="20" fontId="55" fillId="0" borderId="1" xfId="5" applyNumberFormat="1" applyFont="1" applyBorder="1" applyAlignment="1">
      <alignment horizontal="center" vertical="center"/>
    </xf>
    <xf numFmtId="0" fontId="58" fillId="0" borderId="1" xfId="6" applyFont="1" applyBorder="1" applyAlignment="1">
      <alignment vertical="center" shrinkToFit="1"/>
    </xf>
    <xf numFmtId="182" fontId="55" fillId="2" borderId="4" xfId="2" applyNumberFormat="1" applyFont="1" applyFill="1" applyBorder="1" applyAlignment="1">
      <alignment horizontal="center" vertical="center" shrinkToFit="1"/>
    </xf>
    <xf numFmtId="0" fontId="58" fillId="2" borderId="1" xfId="2" applyFont="1" applyFill="1" applyBorder="1" applyAlignment="1">
      <alignment vertical="center" wrapText="1"/>
    </xf>
    <xf numFmtId="20" fontId="55" fillId="0" borderId="1" xfId="3" applyNumberFormat="1" applyFont="1" applyBorder="1" applyAlignment="1">
      <alignment horizontal="center" vertical="center"/>
    </xf>
    <xf numFmtId="0" fontId="58" fillId="0" borderId="1" xfId="2" applyFont="1" applyBorder="1" applyAlignment="1">
      <alignment vertical="center" wrapText="1"/>
    </xf>
    <xf numFmtId="0" fontId="55" fillId="0" borderId="1" xfId="2" applyFont="1" applyBorder="1" applyAlignment="1">
      <alignment horizontal="left" vertical="center" wrapText="1"/>
    </xf>
    <xf numFmtId="0" fontId="55" fillId="0" borderId="25" xfId="2" applyFont="1" applyBorder="1" applyAlignment="1">
      <alignment horizontal="center" vertical="center"/>
    </xf>
    <xf numFmtId="0" fontId="58" fillId="0" borderId="25" xfId="2" applyFont="1" applyBorder="1" applyAlignment="1">
      <alignment vertical="center" wrapText="1"/>
    </xf>
    <xf numFmtId="0" fontId="55" fillId="0" borderId="1" xfId="2" applyFont="1" applyBorder="1" applyAlignment="1">
      <alignment horizontal="center" vertical="center"/>
    </xf>
    <xf numFmtId="0" fontId="55" fillId="0" borderId="1" xfId="2" applyFont="1" applyBorder="1" applyAlignment="1">
      <alignment vertical="center" wrapText="1"/>
    </xf>
    <xf numFmtId="20" fontId="55" fillId="0" borderId="29" xfId="2" applyNumberFormat="1" applyFont="1" applyBorder="1" applyAlignment="1">
      <alignment horizontal="center" vertical="center"/>
    </xf>
    <xf numFmtId="0" fontId="0" fillId="0" borderId="21" xfId="0" applyBorder="1" applyAlignment="1"/>
    <xf numFmtId="0" fontId="55" fillId="0" borderId="25" xfId="2" applyFont="1" applyBorder="1" applyAlignment="1">
      <alignment horizontal="left" vertical="center" wrapText="1"/>
    </xf>
    <xf numFmtId="0" fontId="55" fillId="0" borderId="25" xfId="3" applyFont="1" applyBorder="1" applyAlignment="1">
      <alignment horizontal="center" vertical="center"/>
    </xf>
    <xf numFmtId="0" fontId="58" fillId="0" borderId="25" xfId="3" applyFont="1" applyBorder="1" applyAlignment="1">
      <alignment horizontal="left" vertical="center" wrapText="1"/>
    </xf>
    <xf numFmtId="0" fontId="55" fillId="0" borderId="29" xfId="2" applyFont="1" applyBorder="1" applyAlignment="1">
      <alignment horizontal="center" vertical="center"/>
    </xf>
    <xf numFmtId="0" fontId="61" fillId="3" borderId="2" xfId="2" applyFont="1" applyFill="1" applyBorder="1" applyAlignment="1">
      <alignment vertical="center" shrinkToFit="1"/>
    </xf>
    <xf numFmtId="0" fontId="55" fillId="0" borderId="1" xfId="2" applyFont="1" applyBorder="1">
      <alignment vertical="center"/>
    </xf>
    <xf numFmtId="0" fontId="55" fillId="0" borderId="1" xfId="3" applyFont="1" applyBorder="1" applyAlignment="1">
      <alignment vertical="center" wrapText="1"/>
    </xf>
    <xf numFmtId="0" fontId="55" fillId="0" borderId="25" xfId="2" applyFont="1" applyBorder="1" applyAlignment="1">
      <alignment vertical="center" wrapText="1"/>
    </xf>
    <xf numFmtId="20" fontId="55" fillId="0" borderId="29" xfId="3" applyNumberFormat="1" applyFont="1" applyBorder="1" applyAlignment="1">
      <alignment horizontal="center" vertical="center"/>
    </xf>
    <xf numFmtId="0" fontId="55" fillId="0" borderId="29" xfId="2" applyFont="1" applyBorder="1" applyAlignment="1">
      <alignment horizontal="left" vertical="center" wrapText="1"/>
    </xf>
    <xf numFmtId="20" fontId="55" fillId="0" borderId="1" xfId="3" applyNumberFormat="1" applyFont="1" applyBorder="1" applyAlignment="1">
      <alignment horizontal="center" vertical="top"/>
    </xf>
    <xf numFmtId="0" fontId="62" fillId="0" borderId="1" xfId="3" applyFont="1" applyBorder="1" applyAlignment="1">
      <alignment vertical="top" wrapText="1"/>
    </xf>
    <xf numFmtId="0" fontId="55" fillId="0" borderId="1" xfId="2" applyFont="1" applyBorder="1" applyAlignment="1">
      <alignment vertical="center" shrinkToFit="1"/>
    </xf>
    <xf numFmtId="0" fontId="58" fillId="3" borderId="4" xfId="2" applyFont="1" applyFill="1" applyBorder="1" applyAlignment="1">
      <alignment horizontal="right" vertical="center"/>
    </xf>
    <xf numFmtId="0" fontId="55" fillId="0" borderId="1" xfId="0" applyFont="1" applyBorder="1" applyAlignment="1">
      <alignment vertical="center" wrapText="1"/>
    </xf>
    <xf numFmtId="0" fontId="55" fillId="0" borderId="29" xfId="3" applyFont="1" applyBorder="1" applyAlignment="1">
      <alignment horizontal="center" vertical="center"/>
    </xf>
    <xf numFmtId="0" fontId="55" fillId="0" borderId="29" xfId="3" applyFont="1" applyBorder="1" applyAlignment="1">
      <alignment vertical="center" wrapText="1"/>
    </xf>
    <xf numFmtId="0" fontId="55" fillId="0" borderId="25" xfId="3" applyFont="1" applyBorder="1" applyAlignment="1">
      <alignment vertical="center" wrapText="1"/>
    </xf>
    <xf numFmtId="0" fontId="61" fillId="2" borderId="1" xfId="2" applyFont="1" applyFill="1" applyBorder="1" applyAlignment="1">
      <alignment vertical="center" wrapText="1"/>
    </xf>
    <xf numFmtId="0" fontId="58" fillId="3" borderId="1" xfId="6" applyFont="1" applyFill="1" applyBorder="1" applyAlignment="1">
      <alignment vertical="center" shrinkToFit="1"/>
    </xf>
    <xf numFmtId="0" fontId="55" fillId="0" borderId="4" xfId="2" applyFont="1" applyBorder="1" applyAlignment="1">
      <alignment horizontal="right" vertical="center"/>
    </xf>
    <xf numFmtId="0" fontId="58" fillId="0" borderId="1" xfId="3" applyFont="1" applyBorder="1" applyAlignment="1">
      <alignment vertical="center" wrapText="1"/>
    </xf>
    <xf numFmtId="0" fontId="61" fillId="0" borderId="1" xfId="2" applyFont="1" applyBorder="1" applyAlignment="1">
      <alignment vertical="center" wrapText="1"/>
    </xf>
    <xf numFmtId="0" fontId="58" fillId="3" borderId="4" xfId="6" applyFont="1" applyFill="1" applyBorder="1" applyAlignment="1">
      <alignment horizontal="right" vertical="center" shrinkToFit="1"/>
    </xf>
    <xf numFmtId="0" fontId="58" fillId="3" borderId="2" xfId="6" applyFont="1" applyFill="1" applyBorder="1" applyAlignment="1">
      <alignment horizontal="left" vertical="center" shrinkToFit="1"/>
    </xf>
    <xf numFmtId="0" fontId="58" fillId="0" borderId="2" xfId="6" applyFont="1" applyBorder="1" applyAlignment="1">
      <alignment horizontal="left" vertical="center" shrinkToFit="1"/>
    </xf>
    <xf numFmtId="0" fontId="55" fillId="0" borderId="25" xfId="5" applyFont="1" applyBorder="1" applyAlignment="1">
      <alignment horizontal="center" vertical="center"/>
    </xf>
    <xf numFmtId="0" fontId="55" fillId="0" borderId="5" xfId="5" applyFont="1" applyBorder="1" applyAlignment="1">
      <alignment horizontal="left" vertical="center" wrapText="1"/>
    </xf>
    <xf numFmtId="0" fontId="58" fillId="0" borderId="4" xfId="6" applyFont="1" applyBorder="1" applyAlignment="1">
      <alignment horizontal="right" vertical="center" shrinkToFit="1"/>
    </xf>
    <xf numFmtId="0" fontId="55" fillId="3" borderId="2" xfId="5" applyFont="1" applyFill="1" applyBorder="1" applyAlignment="1">
      <alignment horizontal="left" vertical="center" shrinkToFit="1"/>
    </xf>
    <xf numFmtId="20" fontId="55" fillId="0" borderId="25" xfId="5" applyNumberFormat="1" applyFont="1" applyBorder="1" applyAlignment="1">
      <alignment horizontal="center" vertical="center"/>
    </xf>
    <xf numFmtId="20" fontId="55" fillId="0" borderId="29" xfId="5" applyNumberFormat="1" applyFont="1" applyBorder="1" applyAlignment="1">
      <alignment horizontal="center" vertical="center"/>
    </xf>
    <xf numFmtId="20" fontId="55" fillId="0" borderId="1" xfId="5" applyNumberFormat="1" applyFont="1" applyBorder="1" applyAlignment="1">
      <alignment vertical="center" shrinkToFit="1"/>
    </xf>
    <xf numFmtId="0" fontId="55" fillId="0" borderId="29" xfId="5" applyFont="1" applyBorder="1" applyAlignment="1">
      <alignment horizontal="center" vertical="center"/>
    </xf>
    <xf numFmtId="0" fontId="55" fillId="0" borderId="25" xfId="5" applyFont="1" applyBorder="1" applyAlignment="1">
      <alignment vertical="center" wrapText="1"/>
    </xf>
    <xf numFmtId="0" fontId="55" fillId="0" borderId="1" xfId="5" applyFont="1" applyBorder="1" applyAlignment="1">
      <alignment horizontal="center" vertical="center"/>
    </xf>
    <xf numFmtId="0" fontId="55" fillId="0" borderId="25" xfId="5" applyFont="1" applyBorder="1" applyAlignment="1">
      <alignment horizontal="left" vertical="center" wrapText="1"/>
    </xf>
    <xf numFmtId="0" fontId="55" fillId="0" borderId="1" xfId="5" applyFont="1" applyBorder="1" applyAlignment="1">
      <alignment vertical="center" shrinkToFit="1"/>
    </xf>
    <xf numFmtId="0" fontId="58" fillId="3" borderId="25" xfId="2" applyFont="1" applyFill="1" applyBorder="1" applyAlignment="1">
      <alignment horizontal="left" vertical="center" wrapText="1"/>
    </xf>
    <xf numFmtId="0" fontId="58" fillId="3" borderId="25" xfId="6" applyFont="1" applyFill="1" applyBorder="1" applyAlignment="1">
      <alignment vertical="center" shrinkToFit="1"/>
    </xf>
    <xf numFmtId="20" fontId="55" fillId="0" borderId="27" xfId="5" applyNumberFormat="1" applyFont="1" applyBorder="1" applyAlignment="1">
      <alignment horizontal="center" vertical="center"/>
    </xf>
    <xf numFmtId="0" fontId="55" fillId="0" borderId="0" xfId="5" applyFont="1">
      <alignment vertical="center"/>
    </xf>
    <xf numFmtId="0" fontId="0" fillId="0" borderId="12" xfId="0" applyBorder="1" applyAlignment="1"/>
    <xf numFmtId="0" fontId="55" fillId="0" borderId="27" xfId="5" applyFont="1" applyBorder="1" applyAlignment="1">
      <alignment vertical="center" wrapText="1"/>
    </xf>
    <xf numFmtId="0" fontId="55" fillId="0" borderId="29" xfId="5" applyFont="1" applyBorder="1" applyAlignment="1">
      <alignment vertical="center" wrapText="1"/>
    </xf>
    <xf numFmtId="0" fontId="58" fillId="3" borderId="1" xfId="2" applyFont="1" applyFill="1" applyBorder="1" applyAlignment="1">
      <alignment vertical="center" wrapText="1"/>
    </xf>
    <xf numFmtId="0" fontId="58" fillId="0" borderId="25" xfId="6" applyFont="1" applyBorder="1" applyAlignment="1">
      <alignment horizontal="left" vertical="center" shrinkToFit="1"/>
    </xf>
    <xf numFmtId="0" fontId="55" fillId="0" borderId="0" xfId="0" applyFont="1" applyAlignment="1">
      <alignment horizontal="center" vertical="center"/>
    </xf>
    <xf numFmtId="0" fontId="55" fillId="0" borderId="0" xfId="0" applyFont="1">
      <alignment vertical="center"/>
    </xf>
    <xf numFmtId="0" fontId="55" fillId="0" borderId="0" xfId="0" applyFont="1" applyAlignment="1">
      <alignment vertical="center" shrinkToFit="1"/>
    </xf>
    <xf numFmtId="49" fontId="55" fillId="0" borderId="0" xfId="0" applyNumberFormat="1" applyFont="1">
      <alignment vertical="center"/>
    </xf>
    <xf numFmtId="0" fontId="57" fillId="0" borderId="20" xfId="0" applyFont="1" applyBorder="1" applyAlignment="1">
      <alignment horizontal="center" vertical="center"/>
    </xf>
    <xf numFmtId="182" fontId="55" fillId="2" borderId="4" xfId="0" applyNumberFormat="1" applyFont="1" applyFill="1" applyBorder="1" applyAlignment="1">
      <alignment horizontal="center" vertical="center" shrinkToFit="1"/>
    </xf>
    <xf numFmtId="0" fontId="55" fillId="2" borderId="1" xfId="0" applyFont="1" applyFill="1" applyBorder="1">
      <alignment vertical="center"/>
    </xf>
    <xf numFmtId="0" fontId="96" fillId="0" borderId="5" xfId="1" applyFont="1" applyBorder="1" applyAlignment="1" applyProtection="1">
      <alignment vertical="top" wrapText="1"/>
      <protection locked="0"/>
    </xf>
    <xf numFmtId="0" fontId="96" fillId="0" borderId="6" xfId="1" applyFont="1" applyBorder="1" applyAlignment="1" applyProtection="1">
      <alignment vertical="top" wrapText="1"/>
      <protection locked="0"/>
    </xf>
    <xf numFmtId="0" fontId="96" fillId="0" borderId="7" xfId="1" applyFont="1" applyBorder="1" applyAlignment="1" applyProtection="1">
      <alignment vertical="top" wrapText="1"/>
      <protection locked="0"/>
    </xf>
    <xf numFmtId="0" fontId="96" fillId="0" borderId="11" xfId="1" applyFont="1" applyBorder="1" applyAlignment="1" applyProtection="1">
      <alignment vertical="top" wrapText="1"/>
      <protection locked="0"/>
    </xf>
    <xf numFmtId="0" fontId="96" fillId="0" borderId="0" xfId="1" applyFont="1" applyAlignment="1" applyProtection="1">
      <alignment vertical="top" wrapText="1"/>
      <protection locked="0"/>
    </xf>
    <xf numFmtId="0" fontId="96" fillId="0" borderId="12" xfId="1" applyFont="1" applyBorder="1" applyAlignment="1" applyProtection="1">
      <alignment vertical="top" wrapText="1"/>
      <protection locked="0"/>
    </xf>
    <xf numFmtId="0" fontId="96" fillId="0" borderId="19" xfId="1" applyFont="1" applyBorder="1" applyAlignment="1" applyProtection="1">
      <alignment vertical="top" wrapText="1"/>
      <protection locked="0"/>
    </xf>
    <xf numFmtId="0" fontId="96" fillId="0" borderId="20" xfId="1" applyFont="1" applyBorder="1" applyAlignment="1" applyProtection="1">
      <alignment vertical="top" wrapText="1"/>
      <protection locked="0"/>
    </xf>
    <xf numFmtId="0" fontId="96" fillId="0" borderId="21" xfId="1" applyFont="1" applyBorder="1" applyAlignment="1" applyProtection="1">
      <alignment vertical="top" wrapText="1"/>
      <protection locked="0"/>
    </xf>
  </cellXfs>
  <cellStyles count="8">
    <cellStyle name="ハイパーリンク 2" xfId="7" xr:uid="{382AA86D-F2FF-41D7-8C32-16D71243848A}"/>
    <cellStyle name="標準" xfId="0" builtinId="0"/>
    <cellStyle name="標準 2" xfId="1" xr:uid="{272BC80E-09C2-4F71-A911-6E6526B74877}"/>
    <cellStyle name="標準 3" xfId="4" xr:uid="{E10C2571-9958-4E17-A194-4555D5F8B237}"/>
    <cellStyle name="標準 3 2" xfId="5" xr:uid="{79273F65-27A3-4AAF-8DF3-FAB49AAD8945}"/>
    <cellStyle name="標準 3 3" xfId="6" xr:uid="{EBD6DCFD-A93E-4970-B066-73533E910534}"/>
    <cellStyle name="標準 4 2 2" xfId="3" xr:uid="{E65AACCB-CD5A-4603-AA34-72A358F0EA45}"/>
    <cellStyle name="標準 5" xfId="2" xr:uid="{7B01DCDC-B578-46B9-9A46-50C2BE332704}"/>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15</xdr:col>
      <xdr:colOff>239940</xdr:colOff>
      <xdr:row>62</xdr:row>
      <xdr:rowOff>86321</xdr:rowOff>
    </xdr:from>
    <xdr:to>
      <xdr:col>16</xdr:col>
      <xdr:colOff>402926</xdr:colOff>
      <xdr:row>63</xdr:row>
      <xdr:rowOff>127938</xdr:rowOff>
    </xdr:to>
    <xdr:sp macro="" textlink="">
      <xdr:nvSpPr>
        <xdr:cNvPr id="3" name="正方形/長方形 2">
          <a:extLst>
            <a:ext uri="{FF2B5EF4-FFF2-40B4-BE49-F238E27FC236}">
              <a16:creationId xmlns:a16="http://schemas.microsoft.com/office/drawing/2014/main" id="{2DAE7709-C321-46D1-87AA-D4465690425A}"/>
            </a:ext>
          </a:extLst>
        </xdr:cNvPr>
        <xdr:cNvSpPr/>
      </xdr:nvSpPr>
      <xdr:spPr>
        <a:xfrm>
          <a:off x="7243990" y="8620721"/>
          <a:ext cx="575736" cy="181317"/>
        </a:xfrm>
        <a:prstGeom prst="rect">
          <a:avLst/>
        </a:prstGeom>
        <a:noFill/>
        <a:ln w="635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000" b="1">
              <a:solidFill>
                <a:srgbClr val="0000FF"/>
              </a:solidFill>
              <a:latin typeface="+mn-ea"/>
              <a:ea typeface="+mn-ea"/>
            </a:rPr>
            <a:t>荷物受取</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306295</xdr:colOff>
      <xdr:row>51</xdr:row>
      <xdr:rowOff>141940</xdr:rowOff>
    </xdr:from>
    <xdr:to>
      <xdr:col>17</xdr:col>
      <xdr:colOff>52562</xdr:colOff>
      <xdr:row>53</xdr:row>
      <xdr:rowOff>21379</xdr:rowOff>
    </xdr:to>
    <xdr:sp macro="" textlink="">
      <xdr:nvSpPr>
        <xdr:cNvPr id="2" name="正方形/長方形 1">
          <a:extLst>
            <a:ext uri="{FF2B5EF4-FFF2-40B4-BE49-F238E27FC236}">
              <a16:creationId xmlns:a16="http://schemas.microsoft.com/office/drawing/2014/main" id="{1335C770-668D-4B30-9582-2B7D6D970021}"/>
            </a:ext>
          </a:extLst>
        </xdr:cNvPr>
        <xdr:cNvSpPr/>
      </xdr:nvSpPr>
      <xdr:spPr>
        <a:xfrm>
          <a:off x="6573745" y="7139640"/>
          <a:ext cx="571767" cy="158839"/>
        </a:xfrm>
        <a:prstGeom prst="rect">
          <a:avLst/>
        </a:prstGeom>
        <a:noFill/>
        <a:ln w="635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000" b="1">
              <a:solidFill>
                <a:srgbClr val="0000FF"/>
              </a:solidFill>
              <a:latin typeface="+mn-ea"/>
              <a:ea typeface="+mn-ea"/>
            </a:rPr>
            <a:t>荷物託送</a:t>
          </a:r>
        </a:p>
      </xdr:txBody>
    </xdr:sp>
    <xdr:clientData/>
  </xdr:twoCellAnchor>
  <xdr:twoCellAnchor>
    <xdr:from>
      <xdr:col>15</xdr:col>
      <xdr:colOff>309393</xdr:colOff>
      <xdr:row>62</xdr:row>
      <xdr:rowOff>96243</xdr:rowOff>
    </xdr:from>
    <xdr:to>
      <xdr:col>17</xdr:col>
      <xdr:colOff>55660</xdr:colOff>
      <xdr:row>63</xdr:row>
      <xdr:rowOff>137860</xdr:rowOff>
    </xdr:to>
    <xdr:sp macro="" textlink="">
      <xdr:nvSpPr>
        <xdr:cNvPr id="3" name="正方形/長方形 2">
          <a:extLst>
            <a:ext uri="{FF2B5EF4-FFF2-40B4-BE49-F238E27FC236}">
              <a16:creationId xmlns:a16="http://schemas.microsoft.com/office/drawing/2014/main" id="{2F2AF5B6-4CEE-4F38-8328-63A84EB7A5F3}"/>
            </a:ext>
          </a:extLst>
        </xdr:cNvPr>
        <xdr:cNvSpPr/>
      </xdr:nvSpPr>
      <xdr:spPr>
        <a:xfrm>
          <a:off x="6576843" y="8630643"/>
          <a:ext cx="571767" cy="181317"/>
        </a:xfrm>
        <a:prstGeom prst="rect">
          <a:avLst/>
        </a:prstGeom>
        <a:noFill/>
        <a:ln w="635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000" b="1">
              <a:solidFill>
                <a:srgbClr val="0000FF"/>
              </a:solidFill>
              <a:latin typeface="+mn-ea"/>
              <a:ea typeface="+mn-ea"/>
            </a:rPr>
            <a:t>荷物受取</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306295</xdr:colOff>
      <xdr:row>51</xdr:row>
      <xdr:rowOff>141940</xdr:rowOff>
    </xdr:from>
    <xdr:to>
      <xdr:col>17</xdr:col>
      <xdr:colOff>52562</xdr:colOff>
      <xdr:row>53</xdr:row>
      <xdr:rowOff>21379</xdr:rowOff>
    </xdr:to>
    <xdr:sp macro="" textlink="">
      <xdr:nvSpPr>
        <xdr:cNvPr id="2" name="正方形/長方形 1">
          <a:extLst>
            <a:ext uri="{FF2B5EF4-FFF2-40B4-BE49-F238E27FC236}">
              <a16:creationId xmlns:a16="http://schemas.microsoft.com/office/drawing/2014/main" id="{70CA0C8C-5055-4AF2-B9E2-46B30168FD2C}"/>
            </a:ext>
          </a:extLst>
        </xdr:cNvPr>
        <xdr:cNvSpPr/>
      </xdr:nvSpPr>
      <xdr:spPr>
        <a:xfrm>
          <a:off x="6573745" y="7139640"/>
          <a:ext cx="571767" cy="158839"/>
        </a:xfrm>
        <a:prstGeom prst="rect">
          <a:avLst/>
        </a:prstGeom>
        <a:noFill/>
        <a:ln w="635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000" b="1">
              <a:solidFill>
                <a:srgbClr val="0000FF"/>
              </a:solidFill>
              <a:latin typeface="+mn-ea"/>
              <a:ea typeface="+mn-ea"/>
            </a:rPr>
            <a:t>荷物託送</a:t>
          </a:r>
        </a:p>
      </xdr:txBody>
    </xdr:sp>
    <xdr:clientData/>
  </xdr:twoCellAnchor>
  <xdr:twoCellAnchor>
    <xdr:from>
      <xdr:col>15</xdr:col>
      <xdr:colOff>309393</xdr:colOff>
      <xdr:row>62</xdr:row>
      <xdr:rowOff>96243</xdr:rowOff>
    </xdr:from>
    <xdr:to>
      <xdr:col>17</xdr:col>
      <xdr:colOff>55660</xdr:colOff>
      <xdr:row>63</xdr:row>
      <xdr:rowOff>137860</xdr:rowOff>
    </xdr:to>
    <xdr:sp macro="" textlink="">
      <xdr:nvSpPr>
        <xdr:cNvPr id="3" name="正方形/長方形 2">
          <a:extLst>
            <a:ext uri="{FF2B5EF4-FFF2-40B4-BE49-F238E27FC236}">
              <a16:creationId xmlns:a16="http://schemas.microsoft.com/office/drawing/2014/main" id="{EDA2DCA4-D84A-493B-B63E-24D3C03E75FB}"/>
            </a:ext>
          </a:extLst>
        </xdr:cNvPr>
        <xdr:cNvSpPr/>
      </xdr:nvSpPr>
      <xdr:spPr>
        <a:xfrm>
          <a:off x="6576843" y="8630643"/>
          <a:ext cx="571767" cy="181317"/>
        </a:xfrm>
        <a:prstGeom prst="rect">
          <a:avLst/>
        </a:prstGeom>
        <a:noFill/>
        <a:ln w="635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000" b="1">
              <a:solidFill>
                <a:srgbClr val="0000FF"/>
              </a:solidFill>
              <a:latin typeface="+mn-ea"/>
              <a:ea typeface="+mn-ea"/>
            </a:rPr>
            <a:t>荷物受取</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306295</xdr:colOff>
      <xdr:row>51</xdr:row>
      <xdr:rowOff>141940</xdr:rowOff>
    </xdr:from>
    <xdr:to>
      <xdr:col>17</xdr:col>
      <xdr:colOff>52562</xdr:colOff>
      <xdr:row>53</xdr:row>
      <xdr:rowOff>21379</xdr:rowOff>
    </xdr:to>
    <xdr:sp macro="" textlink="">
      <xdr:nvSpPr>
        <xdr:cNvPr id="2" name="正方形/長方形 1">
          <a:extLst>
            <a:ext uri="{FF2B5EF4-FFF2-40B4-BE49-F238E27FC236}">
              <a16:creationId xmlns:a16="http://schemas.microsoft.com/office/drawing/2014/main" id="{BD841D3E-004D-498E-BCC4-48E87EF9D25D}"/>
            </a:ext>
          </a:extLst>
        </xdr:cNvPr>
        <xdr:cNvSpPr/>
      </xdr:nvSpPr>
      <xdr:spPr>
        <a:xfrm>
          <a:off x="6573745" y="7139640"/>
          <a:ext cx="571767" cy="158839"/>
        </a:xfrm>
        <a:prstGeom prst="rect">
          <a:avLst/>
        </a:prstGeom>
        <a:noFill/>
        <a:ln w="635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000" b="1">
              <a:solidFill>
                <a:srgbClr val="0000FF"/>
              </a:solidFill>
              <a:latin typeface="+mn-ea"/>
              <a:ea typeface="+mn-ea"/>
            </a:rPr>
            <a:t>荷物託送</a:t>
          </a:r>
        </a:p>
      </xdr:txBody>
    </xdr:sp>
    <xdr:clientData/>
  </xdr:twoCellAnchor>
  <xdr:twoCellAnchor>
    <xdr:from>
      <xdr:col>15</xdr:col>
      <xdr:colOff>309393</xdr:colOff>
      <xdr:row>62</xdr:row>
      <xdr:rowOff>96243</xdr:rowOff>
    </xdr:from>
    <xdr:to>
      <xdr:col>17</xdr:col>
      <xdr:colOff>55660</xdr:colOff>
      <xdr:row>63</xdr:row>
      <xdr:rowOff>137860</xdr:rowOff>
    </xdr:to>
    <xdr:sp macro="" textlink="">
      <xdr:nvSpPr>
        <xdr:cNvPr id="3" name="正方形/長方形 2">
          <a:extLst>
            <a:ext uri="{FF2B5EF4-FFF2-40B4-BE49-F238E27FC236}">
              <a16:creationId xmlns:a16="http://schemas.microsoft.com/office/drawing/2014/main" id="{0711CA6C-D476-4155-905F-6EF10E93F0AB}"/>
            </a:ext>
          </a:extLst>
        </xdr:cNvPr>
        <xdr:cNvSpPr/>
      </xdr:nvSpPr>
      <xdr:spPr>
        <a:xfrm>
          <a:off x="6576843" y="8630643"/>
          <a:ext cx="571767" cy="181317"/>
        </a:xfrm>
        <a:prstGeom prst="rect">
          <a:avLst/>
        </a:prstGeom>
        <a:noFill/>
        <a:ln w="635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000" b="1">
              <a:solidFill>
                <a:srgbClr val="0000FF"/>
              </a:solidFill>
              <a:latin typeface="+mn-ea"/>
              <a:ea typeface="+mn-ea"/>
            </a:rPr>
            <a:t>荷物受取</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15</xdr:col>
      <xdr:colOff>306295</xdr:colOff>
      <xdr:row>52</xdr:row>
      <xdr:rowOff>3034</xdr:rowOff>
    </xdr:from>
    <xdr:to>
      <xdr:col>17</xdr:col>
      <xdr:colOff>300858</xdr:colOff>
      <xdr:row>53</xdr:row>
      <xdr:rowOff>21379</xdr:rowOff>
    </xdr:to>
    <xdr:sp macro="" textlink="">
      <xdr:nvSpPr>
        <xdr:cNvPr id="2" name="正方形/長方形 1">
          <a:extLst>
            <a:ext uri="{FF2B5EF4-FFF2-40B4-BE49-F238E27FC236}">
              <a16:creationId xmlns:a16="http://schemas.microsoft.com/office/drawing/2014/main" id="{522C60C3-B015-4B8A-B3A1-EF623E9A149C}"/>
            </a:ext>
          </a:extLst>
        </xdr:cNvPr>
        <xdr:cNvSpPr/>
      </xdr:nvSpPr>
      <xdr:spPr>
        <a:xfrm>
          <a:off x="6606686" y="7087253"/>
          <a:ext cx="828000" cy="157251"/>
        </a:xfrm>
        <a:prstGeom prst="rect">
          <a:avLst/>
        </a:prstGeom>
        <a:noFill/>
        <a:ln w="635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000" b="1">
              <a:solidFill>
                <a:srgbClr val="0000FF"/>
              </a:solidFill>
              <a:latin typeface="+mn-ea"/>
              <a:ea typeface="+mn-ea"/>
            </a:rPr>
            <a:t>宅急便発送</a:t>
          </a:r>
        </a:p>
      </xdr:txBody>
    </xdr:sp>
    <xdr:clientData/>
  </xdr:twoCellAnchor>
  <xdr:twoCellAnchor>
    <xdr:from>
      <xdr:col>15</xdr:col>
      <xdr:colOff>239940</xdr:colOff>
      <xdr:row>62</xdr:row>
      <xdr:rowOff>86321</xdr:rowOff>
    </xdr:from>
    <xdr:to>
      <xdr:col>16</xdr:col>
      <xdr:colOff>402926</xdr:colOff>
      <xdr:row>63</xdr:row>
      <xdr:rowOff>127938</xdr:rowOff>
    </xdr:to>
    <xdr:sp macro="" textlink="">
      <xdr:nvSpPr>
        <xdr:cNvPr id="3" name="正方形/長方形 2">
          <a:extLst>
            <a:ext uri="{FF2B5EF4-FFF2-40B4-BE49-F238E27FC236}">
              <a16:creationId xmlns:a16="http://schemas.microsoft.com/office/drawing/2014/main" id="{3517276F-3D71-40D9-9D16-7B8685618438}"/>
            </a:ext>
          </a:extLst>
        </xdr:cNvPr>
        <xdr:cNvSpPr/>
      </xdr:nvSpPr>
      <xdr:spPr>
        <a:xfrm>
          <a:off x="6540331" y="8559602"/>
          <a:ext cx="579704" cy="180524"/>
        </a:xfrm>
        <a:prstGeom prst="rect">
          <a:avLst/>
        </a:prstGeom>
        <a:noFill/>
        <a:ln w="635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000" b="1">
              <a:solidFill>
                <a:srgbClr val="0000FF"/>
              </a:solidFill>
              <a:latin typeface="+mn-ea"/>
              <a:ea typeface="+mn-ea"/>
            </a:rPr>
            <a:t>荷物受取</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TEL:0555-25-7033"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06D2D-2FF6-40C2-9A61-B02D75DF47D0}">
  <sheetPr>
    <pageSetUpPr fitToPage="1"/>
  </sheetPr>
  <dimension ref="A1:AI91"/>
  <sheetViews>
    <sheetView zoomScale="57" zoomScaleNormal="57" workbookViewId="0">
      <selection activeCell="AE91" sqref="A1:AE91"/>
    </sheetView>
  </sheetViews>
  <sheetFormatPr defaultRowHeight="18"/>
  <cols>
    <col min="1" max="1" width="3.4140625" customWidth="1"/>
    <col min="2" max="2" width="8.4140625" customWidth="1"/>
    <col min="3" max="3" width="6.4140625" customWidth="1"/>
    <col min="4" max="4" width="2.4140625" customWidth="1"/>
    <col min="5" max="14" width="6.58203125" customWidth="1"/>
    <col min="15" max="17" width="5.4140625" customWidth="1"/>
    <col min="18" max="18" width="6.4140625" customWidth="1"/>
    <col min="19" max="23" width="5.4140625" customWidth="1"/>
    <col min="24" max="25" width="6.4140625" customWidth="1"/>
    <col min="26" max="28" width="7.4140625" customWidth="1"/>
    <col min="29" max="30" width="3.4140625" customWidth="1"/>
    <col min="31" max="31" width="21.4140625" customWidth="1"/>
    <col min="32" max="32" width="0" style="3" hidden="1" customWidth="1"/>
    <col min="33" max="33" width="24.75" style="3" hidden="1" customWidth="1"/>
    <col min="34" max="34" width="75.25" style="3" hidden="1" customWidth="1"/>
    <col min="35" max="35" width="18.6640625" style="3" hidden="1" customWidth="1"/>
  </cols>
  <sheetData>
    <row r="1" spans="1:35" ht="18" customHeight="1">
      <c r="A1" s="139" t="s">
        <v>0</v>
      </c>
      <c r="B1" s="140"/>
      <c r="C1" s="140"/>
      <c r="D1" s="140"/>
      <c r="E1" s="140"/>
      <c r="F1" s="141"/>
      <c r="G1" s="142" t="s">
        <v>1</v>
      </c>
      <c r="H1" s="140"/>
      <c r="I1" s="140"/>
      <c r="J1" s="140"/>
      <c r="K1" s="140"/>
      <c r="L1" s="140"/>
      <c r="M1" s="140"/>
      <c r="N1" s="140"/>
      <c r="O1" s="139" t="s">
        <v>2</v>
      </c>
      <c r="P1" s="140"/>
      <c r="Q1" s="141"/>
      <c r="R1" s="143" t="s">
        <v>3</v>
      </c>
      <c r="S1" s="143"/>
      <c r="T1" s="143"/>
      <c r="U1" s="143"/>
      <c r="V1" s="143"/>
      <c r="W1" s="143"/>
      <c r="X1" s="143"/>
      <c r="Y1" s="143"/>
      <c r="Z1" s="143" t="s">
        <v>4</v>
      </c>
      <c r="AA1" s="143"/>
      <c r="AB1" s="143"/>
      <c r="AC1" s="143"/>
      <c r="AD1" s="143"/>
      <c r="AE1" s="143"/>
    </row>
    <row r="2" spans="1:35" ht="8.15" customHeight="1">
      <c r="A2" s="144" t="s">
        <v>154</v>
      </c>
      <c r="B2" s="145"/>
      <c r="C2" s="145"/>
      <c r="D2" s="145"/>
      <c r="E2" s="145"/>
      <c r="F2" s="146"/>
      <c r="G2" s="147" t="s">
        <v>5</v>
      </c>
      <c r="H2" s="148"/>
      <c r="I2" s="148"/>
      <c r="J2" s="148"/>
      <c r="K2" s="148"/>
      <c r="L2" s="148"/>
      <c r="M2" s="148"/>
      <c r="N2" s="149"/>
      <c r="O2" s="153" t="s">
        <v>168</v>
      </c>
      <c r="P2" s="154"/>
      <c r="Q2" s="155"/>
      <c r="R2" s="162" t="s">
        <v>6</v>
      </c>
      <c r="S2" s="165" t="s">
        <v>157</v>
      </c>
      <c r="T2" s="166"/>
      <c r="U2" s="166"/>
      <c r="V2" s="166"/>
      <c r="W2" s="166"/>
      <c r="X2" s="166"/>
      <c r="Y2" s="167"/>
      <c r="Z2" s="184" t="s">
        <v>162</v>
      </c>
      <c r="AA2" s="185"/>
      <c r="AB2" s="185"/>
      <c r="AC2" s="185"/>
      <c r="AD2" s="185"/>
      <c r="AE2" s="186"/>
    </row>
    <row r="3" spans="1:35" ht="8.15" customHeight="1">
      <c r="A3" s="144"/>
      <c r="B3" s="145"/>
      <c r="C3" s="145"/>
      <c r="D3" s="145"/>
      <c r="E3" s="145"/>
      <c r="F3" s="146"/>
      <c r="G3" s="150"/>
      <c r="H3" s="151"/>
      <c r="I3" s="151"/>
      <c r="J3" s="151"/>
      <c r="K3" s="151"/>
      <c r="L3" s="151"/>
      <c r="M3" s="151"/>
      <c r="N3" s="152"/>
      <c r="O3" s="156"/>
      <c r="P3" s="157"/>
      <c r="Q3" s="158"/>
      <c r="R3" s="163"/>
      <c r="S3" s="168"/>
      <c r="T3" s="168"/>
      <c r="U3" s="168"/>
      <c r="V3" s="168"/>
      <c r="W3" s="168"/>
      <c r="X3" s="168"/>
      <c r="Y3" s="169"/>
      <c r="Z3" s="187"/>
      <c r="AA3" s="188"/>
      <c r="AB3" s="188"/>
      <c r="AC3" s="188"/>
      <c r="AD3" s="188"/>
      <c r="AE3" s="189"/>
    </row>
    <row r="4" spans="1:35" ht="8.15" customHeight="1">
      <c r="A4" s="144"/>
      <c r="B4" s="145"/>
      <c r="C4" s="145"/>
      <c r="D4" s="145"/>
      <c r="E4" s="145"/>
      <c r="F4" s="146"/>
      <c r="G4" s="150"/>
      <c r="H4" s="151"/>
      <c r="I4" s="151"/>
      <c r="J4" s="151"/>
      <c r="K4" s="151"/>
      <c r="L4" s="151"/>
      <c r="M4" s="151"/>
      <c r="N4" s="152"/>
      <c r="O4" s="156"/>
      <c r="P4" s="157"/>
      <c r="Q4" s="158"/>
      <c r="R4" s="163"/>
      <c r="S4" s="168"/>
      <c r="T4" s="168"/>
      <c r="U4" s="168"/>
      <c r="V4" s="168"/>
      <c r="W4" s="168"/>
      <c r="X4" s="168"/>
      <c r="Y4" s="169"/>
      <c r="Z4" s="187"/>
      <c r="AA4" s="188"/>
      <c r="AB4" s="188"/>
      <c r="AC4" s="188"/>
      <c r="AD4" s="188"/>
      <c r="AE4" s="189"/>
    </row>
    <row r="5" spans="1:35" ht="8.15" customHeight="1">
      <c r="A5" s="144"/>
      <c r="B5" s="145"/>
      <c r="C5" s="145"/>
      <c r="D5" s="145"/>
      <c r="E5" s="145"/>
      <c r="F5" s="146"/>
      <c r="G5" s="193" t="s">
        <v>7</v>
      </c>
      <c r="H5" s="194"/>
      <c r="I5" s="194"/>
      <c r="J5" s="194"/>
      <c r="K5" s="194"/>
      <c r="L5" s="194"/>
      <c r="M5" s="194"/>
      <c r="N5" s="195"/>
      <c r="O5" s="156"/>
      <c r="P5" s="157"/>
      <c r="Q5" s="158"/>
      <c r="R5" s="164"/>
      <c r="S5" s="170"/>
      <c r="T5" s="170"/>
      <c r="U5" s="170"/>
      <c r="V5" s="170"/>
      <c r="W5" s="170"/>
      <c r="X5" s="170"/>
      <c r="Y5" s="171"/>
      <c r="Z5" s="187"/>
      <c r="AA5" s="188"/>
      <c r="AB5" s="188"/>
      <c r="AC5" s="188"/>
      <c r="AD5" s="188"/>
      <c r="AE5" s="189"/>
    </row>
    <row r="6" spans="1:35" ht="8.15" customHeight="1">
      <c r="A6" s="144"/>
      <c r="B6" s="145"/>
      <c r="C6" s="145"/>
      <c r="D6" s="145"/>
      <c r="E6" s="145"/>
      <c r="F6" s="146"/>
      <c r="G6" s="193"/>
      <c r="H6" s="194"/>
      <c r="I6" s="194"/>
      <c r="J6" s="194"/>
      <c r="K6" s="194"/>
      <c r="L6" s="194"/>
      <c r="M6" s="194"/>
      <c r="N6" s="195"/>
      <c r="O6" s="156"/>
      <c r="P6" s="157"/>
      <c r="Q6" s="158"/>
      <c r="R6" s="162" t="s">
        <v>8</v>
      </c>
      <c r="S6" s="165" t="s">
        <v>158</v>
      </c>
      <c r="T6" s="166"/>
      <c r="U6" s="166"/>
      <c r="V6" s="166"/>
      <c r="W6" s="166"/>
      <c r="X6" s="166"/>
      <c r="Y6" s="167"/>
      <c r="Z6" s="190"/>
      <c r="AA6" s="191"/>
      <c r="AB6" s="191"/>
      <c r="AC6" s="191"/>
      <c r="AD6" s="191"/>
      <c r="AE6" s="192"/>
    </row>
    <row r="7" spans="1:35" ht="8.15" customHeight="1">
      <c r="A7" s="144"/>
      <c r="B7" s="145"/>
      <c r="C7" s="145"/>
      <c r="D7" s="145"/>
      <c r="E7" s="145"/>
      <c r="F7" s="146"/>
      <c r="G7" s="193"/>
      <c r="H7" s="194"/>
      <c r="I7" s="194"/>
      <c r="J7" s="194"/>
      <c r="K7" s="194"/>
      <c r="L7" s="194"/>
      <c r="M7" s="194"/>
      <c r="N7" s="195"/>
      <c r="O7" s="156"/>
      <c r="P7" s="157"/>
      <c r="Q7" s="158"/>
      <c r="R7" s="163"/>
      <c r="S7" s="168"/>
      <c r="T7" s="168"/>
      <c r="U7" s="168"/>
      <c r="V7" s="168"/>
      <c r="W7" s="168"/>
      <c r="X7" s="168"/>
      <c r="Y7" s="169"/>
      <c r="Z7" s="199" t="s">
        <v>163</v>
      </c>
      <c r="AA7" s="200"/>
      <c r="AB7" s="200"/>
      <c r="AC7" s="200"/>
      <c r="AD7" s="200"/>
      <c r="AE7" s="201"/>
    </row>
    <row r="8" spans="1:35" ht="8.15" customHeight="1">
      <c r="A8" s="144"/>
      <c r="B8" s="145"/>
      <c r="C8" s="145"/>
      <c r="D8" s="145"/>
      <c r="E8" s="145"/>
      <c r="F8" s="146"/>
      <c r="G8" s="193"/>
      <c r="H8" s="194"/>
      <c r="I8" s="194"/>
      <c r="J8" s="194"/>
      <c r="K8" s="194"/>
      <c r="L8" s="194"/>
      <c r="M8" s="194"/>
      <c r="N8" s="195"/>
      <c r="O8" s="156"/>
      <c r="P8" s="157"/>
      <c r="Q8" s="158"/>
      <c r="R8" s="163"/>
      <c r="S8" s="168"/>
      <c r="T8" s="168"/>
      <c r="U8" s="168"/>
      <c r="V8" s="168"/>
      <c r="W8" s="168"/>
      <c r="X8" s="168"/>
      <c r="Y8" s="169"/>
      <c r="Z8" s="187"/>
      <c r="AA8" s="188"/>
      <c r="AB8" s="188"/>
      <c r="AC8" s="188"/>
      <c r="AD8" s="188"/>
      <c r="AE8" s="189"/>
      <c r="AF8" s="205"/>
      <c r="AG8" s="172" t="str">
        <f>A2</f>
        <v>KIC0852_KK</v>
      </c>
      <c r="AH8" s="173" t="s">
        <v>29</v>
      </c>
    </row>
    <row r="9" spans="1:35" ht="8.15" customHeight="1">
      <c r="A9" s="144"/>
      <c r="B9" s="145"/>
      <c r="C9" s="145"/>
      <c r="D9" s="145"/>
      <c r="E9" s="145"/>
      <c r="F9" s="146"/>
      <c r="G9" s="196"/>
      <c r="H9" s="197"/>
      <c r="I9" s="197"/>
      <c r="J9" s="197"/>
      <c r="K9" s="197"/>
      <c r="L9" s="197"/>
      <c r="M9" s="197"/>
      <c r="N9" s="198"/>
      <c r="O9" s="159"/>
      <c r="P9" s="160"/>
      <c r="Q9" s="161"/>
      <c r="R9" s="164"/>
      <c r="S9" s="170"/>
      <c r="T9" s="170"/>
      <c r="U9" s="170"/>
      <c r="V9" s="170"/>
      <c r="W9" s="170"/>
      <c r="X9" s="170"/>
      <c r="Y9" s="171"/>
      <c r="Z9" s="202"/>
      <c r="AA9" s="203"/>
      <c r="AB9" s="203"/>
      <c r="AC9" s="203"/>
      <c r="AD9" s="203"/>
      <c r="AE9" s="204"/>
      <c r="AF9" s="206"/>
      <c r="AG9" s="172"/>
      <c r="AH9" s="173"/>
    </row>
    <row r="10" spans="1:35">
      <c r="A10" s="174" t="s">
        <v>9</v>
      </c>
      <c r="B10" s="175"/>
      <c r="C10" s="176" t="s">
        <v>10</v>
      </c>
      <c r="D10" s="176"/>
      <c r="E10" s="177" t="s">
        <v>11</v>
      </c>
      <c r="F10" s="177"/>
      <c r="G10" s="178"/>
      <c r="H10" s="178"/>
      <c r="I10" s="178"/>
      <c r="J10" s="178"/>
      <c r="K10" s="178"/>
      <c r="L10" s="178"/>
      <c r="M10" s="178"/>
      <c r="N10" s="179"/>
      <c r="O10" s="180" t="s">
        <v>12</v>
      </c>
      <c r="P10" s="181"/>
      <c r="Q10" s="182"/>
      <c r="R10" s="183" t="s">
        <v>13</v>
      </c>
      <c r="S10" s="183"/>
      <c r="T10" s="183"/>
      <c r="U10" s="183"/>
      <c r="V10" s="183"/>
      <c r="W10" s="183"/>
      <c r="X10" s="183"/>
      <c r="Y10" s="175"/>
      <c r="Z10" s="143" t="s">
        <v>14</v>
      </c>
      <c r="AA10" s="143"/>
      <c r="AB10" s="143"/>
      <c r="AC10" s="143"/>
      <c r="AD10" s="143"/>
      <c r="AE10" s="143"/>
      <c r="AF10" s="4" t="s">
        <v>30</v>
      </c>
      <c r="AG10" s="5" t="s">
        <v>31</v>
      </c>
      <c r="AH10" s="5" t="s">
        <v>32</v>
      </c>
      <c r="AI10" s="5" t="s">
        <v>33</v>
      </c>
    </row>
    <row r="11" spans="1:35" ht="11.15" hidden="1" customHeight="1">
      <c r="A11" s="228">
        <v>1</v>
      </c>
      <c r="B11" s="232">
        <v>46188</v>
      </c>
      <c r="C11" s="233" t="s">
        <v>115</v>
      </c>
      <c r="D11" s="233"/>
      <c r="E11" s="270" t="s">
        <v>123</v>
      </c>
      <c r="F11" s="271"/>
      <c r="G11" s="271"/>
      <c r="H11" s="271"/>
      <c r="I11" s="271"/>
      <c r="J11" s="271"/>
      <c r="K11" s="271"/>
      <c r="L11" s="271"/>
      <c r="M11" s="271"/>
      <c r="N11" s="272"/>
      <c r="O11" s="279" t="s">
        <v>169</v>
      </c>
      <c r="P11" s="280"/>
      <c r="Q11" s="281"/>
      <c r="R11" s="251" t="s">
        <v>155</v>
      </c>
      <c r="S11" s="252"/>
      <c r="T11" s="252"/>
      <c r="U11" s="252"/>
      <c r="V11" s="252"/>
      <c r="W11" s="253"/>
      <c r="X11" s="260" t="s">
        <v>161</v>
      </c>
      <c r="Y11" s="260"/>
      <c r="Z11" s="220" t="s">
        <v>15</v>
      </c>
      <c r="AA11" s="221"/>
      <c r="AB11" s="222"/>
      <c r="AC11" s="223" t="s">
        <v>36</v>
      </c>
      <c r="AD11" s="224"/>
      <c r="AE11" s="225"/>
      <c r="AF11" s="226">
        <f>B11</f>
        <v>46188</v>
      </c>
      <c r="AG11" s="217" t="str">
        <f t="shared" ref="AG11" si="0">Z11</f>
        <v>B:X</v>
      </c>
      <c r="AH11" s="207"/>
      <c r="AI11" s="208">
        <f>AE11</f>
        <v>0</v>
      </c>
    </row>
    <row r="12" spans="1:35" ht="11.15" hidden="1" customHeight="1">
      <c r="A12" s="229"/>
      <c r="B12" s="232"/>
      <c r="C12" s="234"/>
      <c r="D12" s="234"/>
      <c r="E12" s="273"/>
      <c r="F12" s="274"/>
      <c r="G12" s="274"/>
      <c r="H12" s="274"/>
      <c r="I12" s="274"/>
      <c r="J12" s="274"/>
      <c r="K12" s="274"/>
      <c r="L12" s="274"/>
      <c r="M12" s="274"/>
      <c r="N12" s="275"/>
      <c r="O12" s="282"/>
      <c r="P12" s="283"/>
      <c r="Q12" s="284"/>
      <c r="R12" s="254"/>
      <c r="S12" s="255"/>
      <c r="T12" s="255"/>
      <c r="U12" s="255"/>
      <c r="V12" s="255"/>
      <c r="W12" s="256"/>
      <c r="X12" s="261"/>
      <c r="Y12" s="261"/>
      <c r="Z12" s="209"/>
      <c r="AA12" s="210"/>
      <c r="AB12" s="211"/>
      <c r="AC12" s="214"/>
      <c r="AD12" s="213"/>
      <c r="AE12" s="215"/>
      <c r="AF12" s="227"/>
      <c r="AG12" s="217"/>
      <c r="AH12" s="207"/>
      <c r="AI12" s="208"/>
    </row>
    <row r="13" spans="1:35" ht="11.15" hidden="1" customHeight="1">
      <c r="A13" s="229"/>
      <c r="B13" s="232"/>
      <c r="C13" s="234"/>
      <c r="D13" s="234"/>
      <c r="E13" s="273"/>
      <c r="F13" s="274"/>
      <c r="G13" s="274"/>
      <c r="H13" s="274"/>
      <c r="I13" s="274"/>
      <c r="J13" s="274"/>
      <c r="K13" s="274"/>
      <c r="L13" s="274"/>
      <c r="M13" s="274"/>
      <c r="N13" s="275"/>
      <c r="O13" s="282"/>
      <c r="P13" s="283"/>
      <c r="Q13" s="284"/>
      <c r="R13" s="254"/>
      <c r="S13" s="255"/>
      <c r="T13" s="255"/>
      <c r="U13" s="255"/>
      <c r="V13" s="255"/>
      <c r="W13" s="256"/>
      <c r="X13" s="261"/>
      <c r="Y13" s="261"/>
      <c r="Z13" s="209" t="s">
        <v>28</v>
      </c>
      <c r="AA13" s="210"/>
      <c r="AB13" s="211"/>
      <c r="AC13" s="212">
        <v>0.47916666666666669</v>
      </c>
      <c r="AD13" s="213"/>
      <c r="AE13" s="215" t="s">
        <v>27</v>
      </c>
      <c r="AF13" s="216"/>
      <c r="AG13" s="217" t="str">
        <f t="shared" ref="AG13" si="1">Z13</f>
        <v>L:アーンドラ大門</v>
      </c>
      <c r="AH13" s="218" t="s">
        <v>41</v>
      </c>
      <c r="AI13" s="208" t="str">
        <f t="shared" ref="AI13" si="2">AE13</f>
        <v>03-6809-2158</v>
      </c>
    </row>
    <row r="14" spans="1:35" ht="11.15" hidden="1" customHeight="1">
      <c r="A14" s="229"/>
      <c r="B14" s="232"/>
      <c r="C14" s="234"/>
      <c r="D14" s="234"/>
      <c r="E14" s="273"/>
      <c r="F14" s="274"/>
      <c r="G14" s="274"/>
      <c r="H14" s="274"/>
      <c r="I14" s="274"/>
      <c r="J14" s="274"/>
      <c r="K14" s="274"/>
      <c r="L14" s="274"/>
      <c r="M14" s="274"/>
      <c r="N14" s="275"/>
      <c r="O14" s="282"/>
      <c r="P14" s="283"/>
      <c r="Q14" s="284"/>
      <c r="R14" s="257"/>
      <c r="S14" s="258"/>
      <c r="T14" s="258"/>
      <c r="U14" s="258"/>
      <c r="V14" s="258"/>
      <c r="W14" s="259"/>
      <c r="X14" s="261"/>
      <c r="Y14" s="261"/>
      <c r="Z14" s="209"/>
      <c r="AA14" s="210"/>
      <c r="AB14" s="211"/>
      <c r="AC14" s="214"/>
      <c r="AD14" s="213"/>
      <c r="AE14" s="215"/>
      <c r="AF14" s="216"/>
      <c r="AG14" s="217"/>
      <c r="AH14" s="219"/>
      <c r="AI14" s="208"/>
    </row>
    <row r="15" spans="1:35" ht="11.15" hidden="1" customHeight="1">
      <c r="A15" s="229"/>
      <c r="B15" s="288" t="str">
        <f>TEXT(B11,"(aaa)")</f>
        <v>(月)</v>
      </c>
      <c r="C15" s="234"/>
      <c r="D15" s="234"/>
      <c r="E15" s="273"/>
      <c r="F15" s="274"/>
      <c r="G15" s="274"/>
      <c r="H15" s="274"/>
      <c r="I15" s="274"/>
      <c r="J15" s="274"/>
      <c r="K15" s="274"/>
      <c r="L15" s="274"/>
      <c r="M15" s="274"/>
      <c r="N15" s="275"/>
      <c r="O15" s="282"/>
      <c r="P15" s="283"/>
      <c r="Q15" s="284"/>
      <c r="R15" s="290" t="s">
        <v>16</v>
      </c>
      <c r="S15" s="292" t="s">
        <v>156</v>
      </c>
      <c r="T15" s="293"/>
      <c r="U15" s="293"/>
      <c r="V15" s="293"/>
      <c r="W15" s="294"/>
      <c r="X15" s="261"/>
      <c r="Y15" s="261"/>
      <c r="Z15" s="209" t="s">
        <v>23</v>
      </c>
      <c r="AA15" s="210"/>
      <c r="AB15" s="211"/>
      <c r="AC15" s="212">
        <v>0.79166666666666663</v>
      </c>
      <c r="AD15" s="213"/>
      <c r="AE15" s="215" t="s">
        <v>26</v>
      </c>
      <c r="AF15" s="216"/>
      <c r="AG15" s="217" t="str">
        <f>Z15</f>
        <v>D:モティ六本木</v>
      </c>
      <c r="AH15" s="218" t="s">
        <v>42</v>
      </c>
      <c r="AI15" s="208" t="str">
        <f t="shared" ref="AI15" si="3">AE15</f>
        <v>03-3479-1939</v>
      </c>
    </row>
    <row r="16" spans="1:35" ht="11.15" hidden="1" customHeight="1">
      <c r="A16" s="230"/>
      <c r="B16" s="289"/>
      <c r="C16" s="235"/>
      <c r="D16" s="235"/>
      <c r="E16" s="276"/>
      <c r="F16" s="277"/>
      <c r="G16" s="277"/>
      <c r="H16" s="277"/>
      <c r="I16" s="277"/>
      <c r="J16" s="277"/>
      <c r="K16" s="277"/>
      <c r="L16" s="277"/>
      <c r="M16" s="277"/>
      <c r="N16" s="278"/>
      <c r="O16" s="285"/>
      <c r="P16" s="286"/>
      <c r="Q16" s="287"/>
      <c r="R16" s="291"/>
      <c r="S16" s="295"/>
      <c r="T16" s="296"/>
      <c r="U16" s="296"/>
      <c r="V16" s="296"/>
      <c r="W16" s="297"/>
      <c r="X16" s="262"/>
      <c r="Y16" s="262"/>
      <c r="Z16" s="263"/>
      <c r="AA16" s="264"/>
      <c r="AB16" s="265"/>
      <c r="AC16" s="266"/>
      <c r="AD16" s="267"/>
      <c r="AE16" s="268"/>
      <c r="AF16" s="269"/>
      <c r="AG16" s="217"/>
      <c r="AH16" s="219"/>
      <c r="AI16" s="208"/>
    </row>
    <row r="17" spans="1:35" ht="11.15" customHeight="1">
      <c r="A17" s="228">
        <v>1</v>
      </c>
      <c r="B17" s="231">
        <f>B11+1</f>
        <v>46189</v>
      </c>
      <c r="C17" s="233" t="s">
        <v>165</v>
      </c>
      <c r="D17" s="233"/>
      <c r="E17" s="236" t="s">
        <v>378</v>
      </c>
      <c r="F17" s="237"/>
      <c r="G17" s="237"/>
      <c r="H17" s="237"/>
      <c r="I17" s="237"/>
      <c r="J17" s="237"/>
      <c r="K17" s="237"/>
      <c r="L17" s="237"/>
      <c r="M17" s="237"/>
      <c r="N17" s="238"/>
      <c r="O17" s="245" t="s">
        <v>167</v>
      </c>
      <c r="P17" s="246"/>
      <c r="Q17" s="247"/>
      <c r="R17" s="251" t="s">
        <v>155</v>
      </c>
      <c r="S17" s="252"/>
      <c r="T17" s="252"/>
      <c r="U17" s="252"/>
      <c r="V17" s="252"/>
      <c r="W17" s="253"/>
      <c r="X17" s="260" t="s">
        <v>59</v>
      </c>
      <c r="Y17" s="260"/>
      <c r="Z17" s="220" t="s">
        <v>15</v>
      </c>
      <c r="AA17" s="221"/>
      <c r="AB17" s="222"/>
      <c r="AC17" s="223" t="s">
        <v>36</v>
      </c>
      <c r="AD17" s="224"/>
      <c r="AE17" s="225"/>
      <c r="AF17" s="226">
        <f>B17</f>
        <v>46189</v>
      </c>
      <c r="AG17" s="217" t="str">
        <f t="shared" ref="AG17" si="4">Z17</f>
        <v>B:X</v>
      </c>
      <c r="AH17" s="207"/>
      <c r="AI17" s="208">
        <f t="shared" ref="AI17" si="5">AE17</f>
        <v>0</v>
      </c>
    </row>
    <row r="18" spans="1:35" ht="11.15" customHeight="1">
      <c r="A18" s="229"/>
      <c r="B18" s="232"/>
      <c r="C18" s="234"/>
      <c r="D18" s="234"/>
      <c r="E18" s="239"/>
      <c r="F18" s="240"/>
      <c r="G18" s="240"/>
      <c r="H18" s="240"/>
      <c r="I18" s="240"/>
      <c r="J18" s="240"/>
      <c r="K18" s="240"/>
      <c r="L18" s="240"/>
      <c r="M18" s="240"/>
      <c r="N18" s="241"/>
      <c r="O18" s="248"/>
      <c r="P18" s="249"/>
      <c r="Q18" s="250"/>
      <c r="R18" s="254"/>
      <c r="S18" s="255"/>
      <c r="T18" s="255"/>
      <c r="U18" s="255"/>
      <c r="V18" s="255"/>
      <c r="W18" s="256"/>
      <c r="X18" s="261"/>
      <c r="Y18" s="261"/>
      <c r="Z18" s="209"/>
      <c r="AA18" s="210"/>
      <c r="AB18" s="211"/>
      <c r="AC18" s="214"/>
      <c r="AD18" s="213"/>
      <c r="AE18" s="215"/>
      <c r="AF18" s="227"/>
      <c r="AG18" s="217"/>
      <c r="AH18" s="207"/>
      <c r="AI18" s="208"/>
    </row>
    <row r="19" spans="1:35" ht="11.15" customHeight="1">
      <c r="A19" s="229"/>
      <c r="B19" s="232"/>
      <c r="C19" s="234"/>
      <c r="D19" s="234"/>
      <c r="E19" s="239"/>
      <c r="F19" s="240"/>
      <c r="G19" s="240"/>
      <c r="H19" s="240"/>
      <c r="I19" s="240"/>
      <c r="J19" s="240"/>
      <c r="K19" s="240"/>
      <c r="L19" s="240"/>
      <c r="M19" s="240"/>
      <c r="N19" s="241"/>
      <c r="O19" s="248"/>
      <c r="P19" s="249"/>
      <c r="Q19" s="250"/>
      <c r="R19" s="254"/>
      <c r="S19" s="255"/>
      <c r="T19" s="255"/>
      <c r="U19" s="255"/>
      <c r="V19" s="255"/>
      <c r="W19" s="256"/>
      <c r="X19" s="261"/>
      <c r="Y19" s="261"/>
      <c r="Z19" s="209" t="s">
        <v>28</v>
      </c>
      <c r="AA19" s="210"/>
      <c r="AB19" s="211"/>
      <c r="AC19" s="212">
        <v>0.47916666666666669</v>
      </c>
      <c r="AD19" s="213"/>
      <c r="AE19" s="215" t="s">
        <v>27</v>
      </c>
      <c r="AF19" s="216"/>
      <c r="AG19" s="217" t="str">
        <f t="shared" ref="AG19" si="6">Z19</f>
        <v>L:アーンドラ大門</v>
      </c>
      <c r="AH19" s="218" t="s">
        <v>41</v>
      </c>
      <c r="AI19" s="208" t="str">
        <f t="shared" ref="AI19" si="7">AE19</f>
        <v>03-6809-2158</v>
      </c>
    </row>
    <row r="20" spans="1:35" ht="11.15" customHeight="1">
      <c r="A20" s="229"/>
      <c r="B20" s="232"/>
      <c r="C20" s="234"/>
      <c r="D20" s="234"/>
      <c r="E20" s="239"/>
      <c r="F20" s="240"/>
      <c r="G20" s="240"/>
      <c r="H20" s="240"/>
      <c r="I20" s="240"/>
      <c r="J20" s="240"/>
      <c r="K20" s="240"/>
      <c r="L20" s="240"/>
      <c r="M20" s="240"/>
      <c r="N20" s="241"/>
      <c r="O20" s="248"/>
      <c r="P20" s="249"/>
      <c r="Q20" s="250"/>
      <c r="R20" s="257"/>
      <c r="S20" s="258"/>
      <c r="T20" s="258"/>
      <c r="U20" s="258"/>
      <c r="V20" s="258"/>
      <c r="W20" s="259"/>
      <c r="X20" s="261"/>
      <c r="Y20" s="261"/>
      <c r="Z20" s="209"/>
      <c r="AA20" s="210"/>
      <c r="AB20" s="211"/>
      <c r="AC20" s="214"/>
      <c r="AD20" s="213"/>
      <c r="AE20" s="215"/>
      <c r="AF20" s="216"/>
      <c r="AG20" s="217"/>
      <c r="AH20" s="219"/>
      <c r="AI20" s="208"/>
    </row>
    <row r="21" spans="1:35" ht="11.15" customHeight="1">
      <c r="A21" s="229"/>
      <c r="B21" s="288" t="str">
        <f>TEXT(B17,"(aaa)")</f>
        <v>(火)</v>
      </c>
      <c r="C21" s="234"/>
      <c r="D21" s="234"/>
      <c r="E21" s="239"/>
      <c r="F21" s="240"/>
      <c r="G21" s="240"/>
      <c r="H21" s="240"/>
      <c r="I21" s="240"/>
      <c r="J21" s="240"/>
      <c r="K21" s="240"/>
      <c r="L21" s="240"/>
      <c r="M21" s="240"/>
      <c r="N21" s="241"/>
      <c r="O21" s="248"/>
      <c r="P21" s="249"/>
      <c r="Q21" s="250"/>
      <c r="R21" s="290" t="s">
        <v>16</v>
      </c>
      <c r="S21" s="292" t="s">
        <v>156</v>
      </c>
      <c r="T21" s="293"/>
      <c r="U21" s="293"/>
      <c r="V21" s="293"/>
      <c r="W21" s="294"/>
      <c r="X21" s="261"/>
      <c r="Y21" s="261"/>
      <c r="Z21" s="209" t="s">
        <v>23</v>
      </c>
      <c r="AA21" s="210"/>
      <c r="AB21" s="211"/>
      <c r="AC21" s="212">
        <v>0.8125</v>
      </c>
      <c r="AD21" s="213"/>
      <c r="AE21" s="215" t="s">
        <v>26</v>
      </c>
      <c r="AF21" s="216"/>
      <c r="AG21" s="217" t="str">
        <f>Z21</f>
        <v>D:モティ六本木</v>
      </c>
      <c r="AH21" s="218" t="s">
        <v>42</v>
      </c>
      <c r="AI21" s="208" t="str">
        <f t="shared" ref="AI21" si="8">AE21</f>
        <v>03-3479-1939</v>
      </c>
    </row>
    <row r="22" spans="1:35" ht="11.15" customHeight="1">
      <c r="A22" s="230"/>
      <c r="B22" s="289"/>
      <c r="C22" s="235"/>
      <c r="D22" s="235"/>
      <c r="E22" s="242"/>
      <c r="F22" s="243"/>
      <c r="G22" s="243"/>
      <c r="H22" s="243"/>
      <c r="I22" s="243"/>
      <c r="J22" s="243"/>
      <c r="K22" s="243"/>
      <c r="L22" s="243"/>
      <c r="M22" s="243"/>
      <c r="N22" s="244"/>
      <c r="O22" s="248"/>
      <c r="P22" s="249"/>
      <c r="Q22" s="250"/>
      <c r="R22" s="291"/>
      <c r="S22" s="295"/>
      <c r="T22" s="296"/>
      <c r="U22" s="296"/>
      <c r="V22" s="296"/>
      <c r="W22" s="297"/>
      <c r="X22" s="262"/>
      <c r="Y22" s="262"/>
      <c r="Z22" s="263"/>
      <c r="AA22" s="264"/>
      <c r="AB22" s="265"/>
      <c r="AC22" s="266"/>
      <c r="AD22" s="267"/>
      <c r="AE22" s="268"/>
      <c r="AF22" s="269"/>
      <c r="AG22" s="217"/>
      <c r="AH22" s="219"/>
      <c r="AI22" s="208"/>
    </row>
    <row r="23" spans="1:35" ht="11.15" customHeight="1">
      <c r="A23" s="228">
        <f>A17+1</f>
        <v>2</v>
      </c>
      <c r="B23" s="231">
        <f>B17+1</f>
        <v>46190</v>
      </c>
      <c r="C23" s="233" t="s">
        <v>334</v>
      </c>
      <c r="D23" s="233"/>
      <c r="E23" s="305" t="s">
        <v>364</v>
      </c>
      <c r="F23" s="306"/>
      <c r="G23" s="306"/>
      <c r="H23" s="306"/>
      <c r="I23" s="306"/>
      <c r="J23" s="306"/>
      <c r="K23" s="306"/>
      <c r="L23" s="306"/>
      <c r="M23" s="306"/>
      <c r="N23" s="307"/>
      <c r="O23" s="532" t="s">
        <v>340</v>
      </c>
      <c r="P23" s="533"/>
      <c r="Q23" s="534"/>
      <c r="R23" s="460" t="s">
        <v>58</v>
      </c>
      <c r="S23" s="461"/>
      <c r="T23" s="461"/>
      <c r="U23" s="461"/>
      <c r="V23" s="461"/>
      <c r="W23" s="462"/>
      <c r="X23" s="469" t="s">
        <v>59</v>
      </c>
      <c r="Y23" s="469"/>
      <c r="Z23" s="327" t="s">
        <v>131</v>
      </c>
      <c r="AA23" s="328"/>
      <c r="AB23" s="329"/>
      <c r="AC23" s="330" t="s">
        <v>130</v>
      </c>
      <c r="AD23" s="331"/>
      <c r="AE23" s="334" t="s">
        <v>132</v>
      </c>
      <c r="AF23" s="226">
        <f t="shared" ref="AF23" si="9">B23</f>
        <v>46190</v>
      </c>
      <c r="AG23" s="217" t="str">
        <f t="shared" ref="AG23" si="10">Z23</f>
        <v>B:お弁当(ゴヴィンダス)</v>
      </c>
      <c r="AH23" s="207"/>
      <c r="AI23" s="208" t="str">
        <f t="shared" ref="AI23" si="11">AE23</f>
        <v>090-4539-1313</v>
      </c>
    </row>
    <row r="24" spans="1:35" ht="11.15" customHeight="1">
      <c r="A24" s="229"/>
      <c r="B24" s="232"/>
      <c r="C24" s="234"/>
      <c r="D24" s="234"/>
      <c r="E24" s="308"/>
      <c r="F24" s="309"/>
      <c r="G24" s="309"/>
      <c r="H24" s="309"/>
      <c r="I24" s="309"/>
      <c r="J24" s="309"/>
      <c r="K24" s="309"/>
      <c r="L24" s="309"/>
      <c r="M24" s="309"/>
      <c r="N24" s="310"/>
      <c r="O24" s="535"/>
      <c r="P24" s="536"/>
      <c r="Q24" s="537"/>
      <c r="R24" s="463"/>
      <c r="S24" s="464"/>
      <c r="T24" s="464"/>
      <c r="U24" s="464"/>
      <c r="V24" s="464"/>
      <c r="W24" s="465"/>
      <c r="X24" s="470"/>
      <c r="Y24" s="470"/>
      <c r="Z24" s="320"/>
      <c r="AA24" s="321"/>
      <c r="AB24" s="322"/>
      <c r="AC24" s="332"/>
      <c r="AD24" s="333"/>
      <c r="AE24" s="326"/>
      <c r="AF24" s="227"/>
      <c r="AG24" s="217"/>
      <c r="AH24" s="207"/>
      <c r="AI24" s="208"/>
    </row>
    <row r="25" spans="1:35" ht="11.15" customHeight="1">
      <c r="A25" s="229"/>
      <c r="B25" s="232"/>
      <c r="C25" s="234"/>
      <c r="D25" s="234"/>
      <c r="E25" s="308"/>
      <c r="F25" s="309"/>
      <c r="G25" s="309"/>
      <c r="H25" s="309"/>
      <c r="I25" s="309"/>
      <c r="J25" s="309"/>
      <c r="K25" s="309"/>
      <c r="L25" s="309"/>
      <c r="M25" s="309"/>
      <c r="N25" s="310"/>
      <c r="O25" s="535"/>
      <c r="P25" s="536"/>
      <c r="Q25" s="537"/>
      <c r="R25" s="463"/>
      <c r="S25" s="464"/>
      <c r="T25" s="464"/>
      <c r="U25" s="464"/>
      <c r="V25" s="464"/>
      <c r="W25" s="465"/>
      <c r="X25" s="470"/>
      <c r="Y25" s="470"/>
      <c r="Z25" s="475" t="s">
        <v>68</v>
      </c>
      <c r="AA25" s="476"/>
      <c r="AB25" s="477"/>
      <c r="AC25" s="542">
        <v>0.52083333333333337</v>
      </c>
      <c r="AD25" s="481"/>
      <c r="AE25" s="483" t="s">
        <v>69</v>
      </c>
      <c r="AF25" s="226"/>
      <c r="AG25" s="217" t="str">
        <f t="shared" ref="AG25" si="12">Z25</f>
        <v>L:マユール</v>
      </c>
      <c r="AH25" s="298" t="s">
        <v>153</v>
      </c>
      <c r="AI25" s="208" t="str">
        <f t="shared" ref="AI25" si="13">AE25</f>
        <v>06-6267-3311</v>
      </c>
    </row>
    <row r="26" spans="1:35" ht="11.15" customHeight="1">
      <c r="A26" s="229"/>
      <c r="B26" s="232"/>
      <c r="C26" s="234"/>
      <c r="D26" s="234"/>
      <c r="E26" s="308"/>
      <c r="F26" s="309"/>
      <c r="G26" s="309"/>
      <c r="H26" s="309"/>
      <c r="I26" s="309"/>
      <c r="J26" s="309"/>
      <c r="K26" s="309"/>
      <c r="L26" s="309"/>
      <c r="M26" s="309"/>
      <c r="N26" s="310"/>
      <c r="O26" s="535"/>
      <c r="P26" s="536"/>
      <c r="Q26" s="537"/>
      <c r="R26" s="466"/>
      <c r="S26" s="467"/>
      <c r="T26" s="467"/>
      <c r="U26" s="467"/>
      <c r="V26" s="467"/>
      <c r="W26" s="468"/>
      <c r="X26" s="470"/>
      <c r="Y26" s="470"/>
      <c r="Z26" s="475"/>
      <c r="AA26" s="476"/>
      <c r="AB26" s="477"/>
      <c r="AC26" s="480"/>
      <c r="AD26" s="481"/>
      <c r="AE26" s="483"/>
      <c r="AF26" s="227"/>
      <c r="AG26" s="217"/>
      <c r="AH26" s="298"/>
      <c r="AI26" s="208"/>
    </row>
    <row r="27" spans="1:35" ht="11.15" customHeight="1">
      <c r="A27" s="229"/>
      <c r="B27" s="288" t="str">
        <f>TEXT(B23,"(aaa)")</f>
        <v>(水)</v>
      </c>
      <c r="C27" s="234"/>
      <c r="D27" s="234"/>
      <c r="E27" s="308"/>
      <c r="F27" s="309"/>
      <c r="G27" s="309"/>
      <c r="H27" s="309"/>
      <c r="I27" s="309"/>
      <c r="J27" s="309"/>
      <c r="K27" s="309"/>
      <c r="L27" s="309"/>
      <c r="M27" s="309"/>
      <c r="N27" s="310"/>
      <c r="O27" s="535"/>
      <c r="P27" s="536"/>
      <c r="Q27" s="537"/>
      <c r="R27" s="487" t="s">
        <v>19</v>
      </c>
      <c r="S27" s="489" t="s">
        <v>45</v>
      </c>
      <c r="T27" s="490"/>
      <c r="U27" s="490"/>
      <c r="V27" s="490"/>
      <c r="W27" s="491"/>
      <c r="X27" s="470"/>
      <c r="Y27" s="470"/>
      <c r="Z27" s="475" t="s">
        <v>139</v>
      </c>
      <c r="AA27" s="476"/>
      <c r="AB27" s="477"/>
      <c r="AC27" s="484">
        <v>0.79166666666666663</v>
      </c>
      <c r="AD27" s="481"/>
      <c r="AE27" s="483" t="s">
        <v>69</v>
      </c>
      <c r="AF27" s="226"/>
      <c r="AG27" s="217" t="str">
        <f t="shared" ref="AG27" si="14">Z27</f>
        <v>D:マユール</v>
      </c>
      <c r="AH27" s="298" t="s">
        <v>153</v>
      </c>
      <c r="AI27" s="208" t="str">
        <f t="shared" ref="AI27" si="15">AE27</f>
        <v>06-6267-3311</v>
      </c>
    </row>
    <row r="28" spans="1:35" ht="11.15" customHeight="1">
      <c r="A28" s="230"/>
      <c r="B28" s="289"/>
      <c r="C28" s="235"/>
      <c r="D28" s="235"/>
      <c r="E28" s="311"/>
      <c r="F28" s="312"/>
      <c r="G28" s="312"/>
      <c r="H28" s="312"/>
      <c r="I28" s="312"/>
      <c r="J28" s="312"/>
      <c r="K28" s="312"/>
      <c r="L28" s="312"/>
      <c r="M28" s="312"/>
      <c r="N28" s="313"/>
      <c r="O28" s="535"/>
      <c r="P28" s="536"/>
      <c r="Q28" s="537"/>
      <c r="R28" s="488"/>
      <c r="S28" s="492"/>
      <c r="T28" s="493"/>
      <c r="U28" s="493"/>
      <c r="V28" s="493"/>
      <c r="W28" s="494"/>
      <c r="X28" s="471"/>
      <c r="Y28" s="471"/>
      <c r="Z28" s="495"/>
      <c r="AA28" s="496"/>
      <c r="AB28" s="497"/>
      <c r="AC28" s="498"/>
      <c r="AD28" s="499"/>
      <c r="AE28" s="500"/>
      <c r="AF28" s="227"/>
      <c r="AG28" s="217"/>
      <c r="AH28" s="298"/>
      <c r="AI28" s="208"/>
    </row>
    <row r="29" spans="1:35" ht="11.15" hidden="1" customHeight="1">
      <c r="A29" s="228">
        <f t="shared" ref="A29" si="16">A23+1</f>
        <v>3</v>
      </c>
      <c r="B29" s="231">
        <f>B23+1</f>
        <v>46191</v>
      </c>
      <c r="C29" s="339" t="s">
        <v>118</v>
      </c>
      <c r="D29" s="340"/>
      <c r="E29" s="345" t="s">
        <v>78</v>
      </c>
      <c r="F29" s="346"/>
      <c r="G29" s="346"/>
      <c r="H29" s="346"/>
      <c r="I29" s="346"/>
      <c r="J29" s="346"/>
      <c r="K29" s="346"/>
      <c r="L29" s="346"/>
      <c r="M29" s="346"/>
      <c r="N29" s="347"/>
      <c r="O29" s="245" t="s">
        <v>170</v>
      </c>
      <c r="P29" s="246"/>
      <c r="Q29" s="247"/>
      <c r="R29" s="251" t="s">
        <v>58</v>
      </c>
      <c r="S29" s="252"/>
      <c r="T29" s="252"/>
      <c r="U29" s="252"/>
      <c r="V29" s="252"/>
      <c r="W29" s="253"/>
      <c r="X29" s="260" t="s">
        <v>59</v>
      </c>
      <c r="Y29" s="260"/>
      <c r="Z29" s="299" t="s">
        <v>17</v>
      </c>
      <c r="AA29" s="300"/>
      <c r="AB29" s="301"/>
      <c r="AC29" s="302">
        <v>0.27083333333333331</v>
      </c>
      <c r="AD29" s="303"/>
      <c r="AE29" s="334"/>
      <c r="AF29" s="226">
        <f t="shared" ref="AF29" si="17">B29</f>
        <v>46191</v>
      </c>
      <c r="AG29" s="217" t="str">
        <f t="shared" ref="AG29" si="18">Z29</f>
        <v>B:ホテル</v>
      </c>
      <c r="AH29" s="207"/>
      <c r="AI29" s="208">
        <f t="shared" ref="AI29" si="19">AE29</f>
        <v>0</v>
      </c>
    </row>
    <row r="30" spans="1:35" ht="11.15" hidden="1" customHeight="1">
      <c r="A30" s="229"/>
      <c r="B30" s="232"/>
      <c r="C30" s="341"/>
      <c r="D30" s="342"/>
      <c r="E30" s="348"/>
      <c r="F30" s="349"/>
      <c r="G30" s="349"/>
      <c r="H30" s="349"/>
      <c r="I30" s="349"/>
      <c r="J30" s="349"/>
      <c r="K30" s="349"/>
      <c r="L30" s="349"/>
      <c r="M30" s="349"/>
      <c r="N30" s="350"/>
      <c r="O30" s="248"/>
      <c r="P30" s="249"/>
      <c r="Q30" s="250"/>
      <c r="R30" s="254"/>
      <c r="S30" s="255"/>
      <c r="T30" s="255"/>
      <c r="U30" s="255"/>
      <c r="V30" s="255"/>
      <c r="W30" s="256"/>
      <c r="X30" s="261"/>
      <c r="Y30" s="261"/>
      <c r="Z30" s="209"/>
      <c r="AA30" s="210"/>
      <c r="AB30" s="211"/>
      <c r="AC30" s="214"/>
      <c r="AD30" s="213"/>
      <c r="AE30" s="326"/>
      <c r="AF30" s="227"/>
      <c r="AG30" s="217"/>
      <c r="AH30" s="207"/>
      <c r="AI30" s="208"/>
    </row>
    <row r="31" spans="1:35" ht="11.15" hidden="1" customHeight="1">
      <c r="A31" s="229"/>
      <c r="B31" s="232"/>
      <c r="C31" s="341"/>
      <c r="D31" s="342"/>
      <c r="E31" s="348"/>
      <c r="F31" s="349"/>
      <c r="G31" s="349"/>
      <c r="H31" s="349"/>
      <c r="I31" s="349"/>
      <c r="J31" s="349"/>
      <c r="K31" s="349"/>
      <c r="L31" s="349"/>
      <c r="M31" s="349"/>
      <c r="N31" s="350"/>
      <c r="O31" s="248"/>
      <c r="P31" s="249"/>
      <c r="Q31" s="250"/>
      <c r="R31" s="254"/>
      <c r="S31" s="255"/>
      <c r="T31" s="255"/>
      <c r="U31" s="255"/>
      <c r="V31" s="255"/>
      <c r="W31" s="256"/>
      <c r="X31" s="261"/>
      <c r="Y31" s="261"/>
      <c r="Z31" s="320" t="s">
        <v>141</v>
      </c>
      <c r="AA31" s="321"/>
      <c r="AB31" s="322"/>
      <c r="AC31" s="323" t="s">
        <v>36</v>
      </c>
      <c r="AD31" s="324"/>
      <c r="AE31" s="326"/>
      <c r="AF31" s="226"/>
      <c r="AG31" s="217" t="str">
        <f t="shared" ref="AG31" si="20">Z31</f>
        <v>L:2,500円返金</v>
      </c>
      <c r="AH31" s="298"/>
      <c r="AI31" s="208">
        <f t="shared" ref="AI31" si="21">AE31</f>
        <v>0</v>
      </c>
    </row>
    <row r="32" spans="1:35" ht="11.15" hidden="1" customHeight="1">
      <c r="A32" s="229"/>
      <c r="B32" s="232"/>
      <c r="C32" s="341"/>
      <c r="D32" s="342"/>
      <c r="E32" s="348"/>
      <c r="F32" s="349"/>
      <c r="G32" s="349"/>
      <c r="H32" s="349"/>
      <c r="I32" s="349"/>
      <c r="J32" s="349"/>
      <c r="K32" s="349"/>
      <c r="L32" s="349"/>
      <c r="M32" s="349"/>
      <c r="N32" s="350"/>
      <c r="O32" s="248"/>
      <c r="P32" s="249"/>
      <c r="Q32" s="250"/>
      <c r="R32" s="257"/>
      <c r="S32" s="258"/>
      <c r="T32" s="258"/>
      <c r="U32" s="258"/>
      <c r="V32" s="258"/>
      <c r="W32" s="259"/>
      <c r="X32" s="261"/>
      <c r="Y32" s="261"/>
      <c r="Z32" s="320"/>
      <c r="AA32" s="321"/>
      <c r="AB32" s="322"/>
      <c r="AC32" s="325"/>
      <c r="AD32" s="324"/>
      <c r="AE32" s="326"/>
      <c r="AF32" s="227"/>
      <c r="AG32" s="217"/>
      <c r="AH32" s="298"/>
      <c r="AI32" s="208"/>
    </row>
    <row r="33" spans="1:35" ht="11.15" hidden="1" customHeight="1">
      <c r="A33" s="229"/>
      <c r="B33" s="288" t="str">
        <f>TEXT(B29,"(aaa)")</f>
        <v>(木)</v>
      </c>
      <c r="C33" s="341"/>
      <c r="D33" s="342"/>
      <c r="E33" s="348"/>
      <c r="F33" s="349"/>
      <c r="G33" s="349"/>
      <c r="H33" s="349"/>
      <c r="I33" s="349"/>
      <c r="J33" s="349"/>
      <c r="K33" s="349"/>
      <c r="L33" s="349"/>
      <c r="M33" s="349"/>
      <c r="N33" s="350"/>
      <c r="O33" s="248"/>
      <c r="P33" s="249"/>
      <c r="Q33" s="250"/>
      <c r="R33" s="290" t="s">
        <v>19</v>
      </c>
      <c r="S33" s="292" t="s">
        <v>45</v>
      </c>
      <c r="T33" s="293"/>
      <c r="U33" s="293"/>
      <c r="V33" s="293"/>
      <c r="W33" s="294"/>
      <c r="X33" s="261"/>
      <c r="Y33" s="261"/>
      <c r="Z33" s="320" t="s">
        <v>139</v>
      </c>
      <c r="AA33" s="321"/>
      <c r="AB33" s="322"/>
      <c r="AC33" s="335">
        <v>0.79166666666666663</v>
      </c>
      <c r="AD33" s="324"/>
      <c r="AE33" s="326" t="s">
        <v>69</v>
      </c>
      <c r="AF33" s="226"/>
      <c r="AG33" s="217" t="str">
        <f t="shared" ref="AG33" si="22">Z33</f>
        <v>D:マユール</v>
      </c>
      <c r="AH33" s="298" t="s">
        <v>153</v>
      </c>
      <c r="AI33" s="208" t="str">
        <f t="shared" ref="AI33" si="23">AE33</f>
        <v>06-6267-3311</v>
      </c>
    </row>
    <row r="34" spans="1:35" ht="11.15" hidden="1" customHeight="1">
      <c r="A34" s="230"/>
      <c r="B34" s="289"/>
      <c r="C34" s="343"/>
      <c r="D34" s="344"/>
      <c r="E34" s="351"/>
      <c r="F34" s="352"/>
      <c r="G34" s="352"/>
      <c r="H34" s="352"/>
      <c r="I34" s="352"/>
      <c r="J34" s="352"/>
      <c r="K34" s="352"/>
      <c r="L34" s="352"/>
      <c r="M34" s="352"/>
      <c r="N34" s="353"/>
      <c r="O34" s="354"/>
      <c r="P34" s="355"/>
      <c r="Q34" s="356"/>
      <c r="R34" s="291"/>
      <c r="S34" s="295"/>
      <c r="T34" s="296"/>
      <c r="U34" s="296"/>
      <c r="V34" s="296"/>
      <c r="W34" s="297"/>
      <c r="X34" s="262"/>
      <c r="Y34" s="262"/>
      <c r="Z34" s="357"/>
      <c r="AA34" s="358"/>
      <c r="AB34" s="359"/>
      <c r="AC34" s="336"/>
      <c r="AD34" s="337"/>
      <c r="AE34" s="338"/>
      <c r="AF34" s="227"/>
      <c r="AG34" s="217"/>
      <c r="AH34" s="298"/>
      <c r="AI34" s="208"/>
    </row>
    <row r="35" spans="1:35" ht="11.15" hidden="1" customHeight="1">
      <c r="A35" s="228">
        <f t="shared" ref="A35" si="24">A29+1</f>
        <v>4</v>
      </c>
      <c r="B35" s="231">
        <f>B29+1</f>
        <v>46192</v>
      </c>
      <c r="C35" s="233" t="s">
        <v>117</v>
      </c>
      <c r="D35" s="233"/>
      <c r="E35" s="360" t="s">
        <v>173</v>
      </c>
      <c r="F35" s="361"/>
      <c r="G35" s="361"/>
      <c r="H35" s="361"/>
      <c r="I35" s="361"/>
      <c r="J35" s="361"/>
      <c r="K35" s="361"/>
      <c r="L35" s="361"/>
      <c r="M35" s="361"/>
      <c r="N35" s="362"/>
      <c r="O35" s="314" t="s">
        <v>373</v>
      </c>
      <c r="P35" s="315"/>
      <c r="Q35" s="316"/>
      <c r="R35" s="251" t="s">
        <v>58</v>
      </c>
      <c r="S35" s="252"/>
      <c r="T35" s="252"/>
      <c r="U35" s="252"/>
      <c r="V35" s="252"/>
      <c r="W35" s="253"/>
      <c r="X35" s="260" t="s">
        <v>59</v>
      </c>
      <c r="Y35" s="260"/>
      <c r="Z35" s="327" t="s">
        <v>152</v>
      </c>
      <c r="AA35" s="328"/>
      <c r="AB35" s="329"/>
      <c r="AC35" s="330" t="s">
        <v>130</v>
      </c>
      <c r="AD35" s="331"/>
      <c r="AE35" s="334" t="s">
        <v>69</v>
      </c>
      <c r="AF35" s="226">
        <f t="shared" ref="AF35" si="25">B35</f>
        <v>46192</v>
      </c>
      <c r="AG35" s="217" t="str">
        <f t="shared" ref="AG35" si="26">Z35</f>
        <v>B:お弁当(マユール)</v>
      </c>
      <c r="AH35" s="207"/>
      <c r="AI35" s="208" t="str">
        <f t="shared" ref="AI35" si="27">AE35</f>
        <v>06-6267-3311</v>
      </c>
    </row>
    <row r="36" spans="1:35" ht="11.15" hidden="1" customHeight="1">
      <c r="A36" s="229"/>
      <c r="B36" s="232"/>
      <c r="C36" s="234"/>
      <c r="D36" s="234"/>
      <c r="E36" s="363"/>
      <c r="F36" s="364"/>
      <c r="G36" s="364"/>
      <c r="H36" s="364"/>
      <c r="I36" s="364"/>
      <c r="J36" s="364"/>
      <c r="K36" s="364"/>
      <c r="L36" s="364"/>
      <c r="M36" s="364"/>
      <c r="N36" s="365"/>
      <c r="O36" s="317"/>
      <c r="P36" s="318"/>
      <c r="Q36" s="319"/>
      <c r="R36" s="254"/>
      <c r="S36" s="255"/>
      <c r="T36" s="255"/>
      <c r="U36" s="255"/>
      <c r="V36" s="255"/>
      <c r="W36" s="256"/>
      <c r="X36" s="261"/>
      <c r="Y36" s="261"/>
      <c r="Z36" s="320"/>
      <c r="AA36" s="321"/>
      <c r="AB36" s="322"/>
      <c r="AC36" s="332"/>
      <c r="AD36" s="333"/>
      <c r="AE36" s="326"/>
      <c r="AF36" s="227"/>
      <c r="AG36" s="217"/>
      <c r="AH36" s="207"/>
      <c r="AI36" s="208"/>
    </row>
    <row r="37" spans="1:35" ht="11.15" hidden="1" customHeight="1">
      <c r="A37" s="229"/>
      <c r="B37" s="232"/>
      <c r="C37" s="234"/>
      <c r="D37" s="234"/>
      <c r="E37" s="363"/>
      <c r="F37" s="364"/>
      <c r="G37" s="364"/>
      <c r="H37" s="364"/>
      <c r="I37" s="364"/>
      <c r="J37" s="364"/>
      <c r="K37" s="364"/>
      <c r="L37" s="364"/>
      <c r="M37" s="364"/>
      <c r="N37" s="365"/>
      <c r="O37" s="317"/>
      <c r="P37" s="318"/>
      <c r="Q37" s="319"/>
      <c r="R37" s="254"/>
      <c r="S37" s="255"/>
      <c r="T37" s="255"/>
      <c r="U37" s="255"/>
      <c r="V37" s="255"/>
      <c r="W37" s="256"/>
      <c r="X37" s="261"/>
      <c r="Y37" s="261"/>
      <c r="Z37" s="320" t="s">
        <v>140</v>
      </c>
      <c r="AA37" s="321"/>
      <c r="AB37" s="322"/>
      <c r="AC37" s="335">
        <v>0.58333333333333337</v>
      </c>
      <c r="AD37" s="324"/>
      <c r="AE37" s="326" t="s">
        <v>24</v>
      </c>
      <c r="AF37" s="226"/>
      <c r="AG37" s="217" t="str">
        <f t="shared" ref="AG37" si="28">Z37</f>
        <v>L:ボンベイダイニング五日市</v>
      </c>
      <c r="AH37" s="298" t="s">
        <v>124</v>
      </c>
      <c r="AI37" s="208" t="str">
        <f t="shared" ref="AI37" si="29">AE37</f>
        <v>082-924-1166</v>
      </c>
    </row>
    <row r="38" spans="1:35" ht="11.15" hidden="1" customHeight="1">
      <c r="A38" s="229"/>
      <c r="B38" s="232"/>
      <c r="C38" s="234"/>
      <c r="D38" s="234"/>
      <c r="E38" s="363"/>
      <c r="F38" s="364"/>
      <c r="G38" s="364"/>
      <c r="H38" s="364"/>
      <c r="I38" s="364"/>
      <c r="J38" s="364"/>
      <c r="K38" s="364"/>
      <c r="L38" s="364"/>
      <c r="M38" s="364"/>
      <c r="N38" s="365"/>
      <c r="O38" s="317"/>
      <c r="P38" s="318"/>
      <c r="Q38" s="319"/>
      <c r="R38" s="257"/>
      <c r="S38" s="258"/>
      <c r="T38" s="258"/>
      <c r="U38" s="258"/>
      <c r="V38" s="258"/>
      <c r="W38" s="259"/>
      <c r="X38" s="261"/>
      <c r="Y38" s="261"/>
      <c r="Z38" s="320"/>
      <c r="AA38" s="321"/>
      <c r="AB38" s="322"/>
      <c r="AC38" s="325"/>
      <c r="AD38" s="324"/>
      <c r="AE38" s="326"/>
      <c r="AF38" s="227"/>
      <c r="AG38" s="217"/>
      <c r="AH38" s="298"/>
      <c r="AI38" s="208"/>
    </row>
    <row r="39" spans="1:35" ht="11.15" hidden="1" customHeight="1">
      <c r="A39" s="229"/>
      <c r="B39" s="288" t="str">
        <f>TEXT(B35,"(aaa)")</f>
        <v>(金)</v>
      </c>
      <c r="C39" s="234"/>
      <c r="D39" s="234"/>
      <c r="E39" s="363"/>
      <c r="F39" s="364"/>
      <c r="G39" s="364"/>
      <c r="H39" s="364"/>
      <c r="I39" s="364"/>
      <c r="J39" s="364"/>
      <c r="K39" s="364"/>
      <c r="L39" s="364"/>
      <c r="M39" s="364"/>
      <c r="N39" s="365"/>
      <c r="O39" s="317"/>
      <c r="P39" s="318"/>
      <c r="Q39" s="319"/>
      <c r="R39" s="290" t="s">
        <v>19</v>
      </c>
      <c r="S39" s="292" t="s">
        <v>45</v>
      </c>
      <c r="T39" s="293"/>
      <c r="U39" s="293"/>
      <c r="V39" s="293"/>
      <c r="W39" s="294"/>
      <c r="X39" s="261"/>
      <c r="Y39" s="261"/>
      <c r="Z39" s="320" t="s">
        <v>139</v>
      </c>
      <c r="AA39" s="321"/>
      <c r="AB39" s="322"/>
      <c r="AC39" s="335">
        <v>0.8125</v>
      </c>
      <c r="AD39" s="324"/>
      <c r="AE39" s="326" t="s">
        <v>69</v>
      </c>
      <c r="AF39" s="226"/>
      <c r="AG39" s="217" t="str">
        <f t="shared" ref="AG39" si="30">Z39</f>
        <v>D:マユール</v>
      </c>
      <c r="AH39" s="298" t="s">
        <v>153</v>
      </c>
      <c r="AI39" s="208" t="str">
        <f t="shared" ref="AI39" si="31">AE39</f>
        <v>06-6267-3311</v>
      </c>
    </row>
    <row r="40" spans="1:35" ht="11.15" hidden="1" customHeight="1">
      <c r="A40" s="230"/>
      <c r="B40" s="289"/>
      <c r="C40" s="235"/>
      <c r="D40" s="235"/>
      <c r="E40" s="366"/>
      <c r="F40" s="367"/>
      <c r="G40" s="367"/>
      <c r="H40" s="367"/>
      <c r="I40" s="367"/>
      <c r="J40" s="367"/>
      <c r="K40" s="367"/>
      <c r="L40" s="367"/>
      <c r="M40" s="367"/>
      <c r="N40" s="368"/>
      <c r="O40" s="369"/>
      <c r="P40" s="370"/>
      <c r="Q40" s="371"/>
      <c r="R40" s="291"/>
      <c r="S40" s="295"/>
      <c r="T40" s="296"/>
      <c r="U40" s="296"/>
      <c r="V40" s="296"/>
      <c r="W40" s="297"/>
      <c r="X40" s="262"/>
      <c r="Y40" s="262"/>
      <c r="Z40" s="357"/>
      <c r="AA40" s="358"/>
      <c r="AB40" s="359"/>
      <c r="AC40" s="336"/>
      <c r="AD40" s="337"/>
      <c r="AE40" s="338"/>
      <c r="AF40" s="227"/>
      <c r="AG40" s="217"/>
      <c r="AH40" s="298"/>
      <c r="AI40" s="208"/>
    </row>
    <row r="41" spans="1:35" ht="11.15" hidden="1" customHeight="1">
      <c r="A41" s="228">
        <f t="shared" ref="A41" si="32">A35+1</f>
        <v>5</v>
      </c>
      <c r="B41" s="231">
        <f>B35+1</f>
        <v>46193</v>
      </c>
      <c r="C41" s="339" t="s">
        <v>118</v>
      </c>
      <c r="D41" s="340"/>
      <c r="E41" s="305" t="s">
        <v>77</v>
      </c>
      <c r="F41" s="306"/>
      <c r="G41" s="306"/>
      <c r="H41" s="306"/>
      <c r="I41" s="306"/>
      <c r="J41" s="306"/>
      <c r="K41" s="306"/>
      <c r="L41" s="306"/>
      <c r="M41" s="306"/>
      <c r="N41" s="307"/>
      <c r="O41" s="314" t="s">
        <v>160</v>
      </c>
      <c r="P41" s="315"/>
      <c r="Q41" s="316"/>
      <c r="R41" s="251" t="s">
        <v>74</v>
      </c>
      <c r="S41" s="374"/>
      <c r="T41" s="374"/>
      <c r="U41" s="374"/>
      <c r="V41" s="374"/>
      <c r="W41" s="375"/>
      <c r="X41" s="260" t="s">
        <v>59</v>
      </c>
      <c r="Y41" s="260"/>
      <c r="Z41" s="327" t="s">
        <v>17</v>
      </c>
      <c r="AA41" s="328"/>
      <c r="AB41" s="329"/>
      <c r="AC41" s="372">
        <v>0.27083333333333331</v>
      </c>
      <c r="AD41" s="373"/>
      <c r="AE41" s="334"/>
      <c r="AF41" s="226">
        <f t="shared" ref="AF41" si="33">B41</f>
        <v>46193</v>
      </c>
      <c r="AG41" s="217" t="str">
        <f t="shared" ref="AG41" si="34">Z41</f>
        <v>B:ホテル</v>
      </c>
      <c r="AH41" s="207"/>
      <c r="AI41" s="208">
        <f t="shared" ref="AI41" si="35">AE41</f>
        <v>0</v>
      </c>
    </row>
    <row r="42" spans="1:35" ht="11.15" hidden="1" customHeight="1">
      <c r="A42" s="229"/>
      <c r="B42" s="232"/>
      <c r="C42" s="341"/>
      <c r="D42" s="342"/>
      <c r="E42" s="308"/>
      <c r="F42" s="309"/>
      <c r="G42" s="309"/>
      <c r="H42" s="309"/>
      <c r="I42" s="309"/>
      <c r="J42" s="309"/>
      <c r="K42" s="309"/>
      <c r="L42" s="309"/>
      <c r="M42" s="309"/>
      <c r="N42" s="310"/>
      <c r="O42" s="317"/>
      <c r="P42" s="318"/>
      <c r="Q42" s="319"/>
      <c r="R42" s="376"/>
      <c r="S42" s="377"/>
      <c r="T42" s="377"/>
      <c r="U42" s="377"/>
      <c r="V42" s="377"/>
      <c r="W42" s="378"/>
      <c r="X42" s="261"/>
      <c r="Y42" s="261"/>
      <c r="Z42" s="320"/>
      <c r="AA42" s="321"/>
      <c r="AB42" s="322"/>
      <c r="AC42" s="325"/>
      <c r="AD42" s="324"/>
      <c r="AE42" s="326"/>
      <c r="AF42" s="227"/>
      <c r="AG42" s="217"/>
      <c r="AH42" s="207"/>
      <c r="AI42" s="208"/>
    </row>
    <row r="43" spans="1:35" ht="11.15" hidden="1" customHeight="1">
      <c r="A43" s="229"/>
      <c r="B43" s="232"/>
      <c r="C43" s="341"/>
      <c r="D43" s="342"/>
      <c r="E43" s="308"/>
      <c r="F43" s="309"/>
      <c r="G43" s="309"/>
      <c r="H43" s="309"/>
      <c r="I43" s="309"/>
      <c r="J43" s="309"/>
      <c r="K43" s="309"/>
      <c r="L43" s="309"/>
      <c r="M43" s="309"/>
      <c r="N43" s="310"/>
      <c r="O43" s="317"/>
      <c r="P43" s="318"/>
      <c r="Q43" s="319"/>
      <c r="R43" s="376"/>
      <c r="S43" s="377"/>
      <c r="T43" s="377"/>
      <c r="U43" s="377"/>
      <c r="V43" s="377"/>
      <c r="W43" s="378"/>
      <c r="X43" s="261"/>
      <c r="Y43" s="261"/>
      <c r="Z43" s="320" t="s">
        <v>142</v>
      </c>
      <c r="AA43" s="321"/>
      <c r="AB43" s="322"/>
      <c r="AC43" s="323">
        <v>0.5625</v>
      </c>
      <c r="AD43" s="324"/>
      <c r="AE43" s="326" t="s">
        <v>69</v>
      </c>
      <c r="AF43" s="226"/>
      <c r="AG43" s="217" t="str">
        <f t="shared" ref="AG43" si="36">Z43</f>
        <v>L:マユール</v>
      </c>
      <c r="AH43" s="298" t="s">
        <v>153</v>
      </c>
      <c r="AI43" s="208" t="str">
        <f t="shared" ref="AI43" si="37">AE43</f>
        <v>06-6267-3311</v>
      </c>
    </row>
    <row r="44" spans="1:35" ht="11.15" hidden="1" customHeight="1">
      <c r="A44" s="229"/>
      <c r="B44" s="232"/>
      <c r="C44" s="341"/>
      <c r="D44" s="342"/>
      <c r="E44" s="308"/>
      <c r="F44" s="309"/>
      <c r="G44" s="309"/>
      <c r="H44" s="309"/>
      <c r="I44" s="309"/>
      <c r="J44" s="309"/>
      <c r="K44" s="309"/>
      <c r="L44" s="309"/>
      <c r="M44" s="309"/>
      <c r="N44" s="310"/>
      <c r="O44" s="317"/>
      <c r="P44" s="318"/>
      <c r="Q44" s="319"/>
      <c r="R44" s="379"/>
      <c r="S44" s="380"/>
      <c r="T44" s="380"/>
      <c r="U44" s="380"/>
      <c r="V44" s="380"/>
      <c r="W44" s="381"/>
      <c r="X44" s="261"/>
      <c r="Y44" s="261"/>
      <c r="Z44" s="320"/>
      <c r="AA44" s="321"/>
      <c r="AB44" s="322"/>
      <c r="AC44" s="325"/>
      <c r="AD44" s="324"/>
      <c r="AE44" s="326"/>
      <c r="AF44" s="227"/>
      <c r="AG44" s="217"/>
      <c r="AH44" s="298"/>
      <c r="AI44" s="208"/>
    </row>
    <row r="45" spans="1:35" ht="11.15" hidden="1" customHeight="1">
      <c r="A45" s="229"/>
      <c r="B45" s="288" t="str">
        <f>TEXT(B41,"(aaa)")</f>
        <v>(土)</v>
      </c>
      <c r="C45" s="341"/>
      <c r="D45" s="342"/>
      <c r="E45" s="308"/>
      <c r="F45" s="309"/>
      <c r="G45" s="309"/>
      <c r="H45" s="309"/>
      <c r="I45" s="309"/>
      <c r="J45" s="309"/>
      <c r="K45" s="309"/>
      <c r="L45" s="309"/>
      <c r="M45" s="309"/>
      <c r="N45" s="310"/>
      <c r="O45" s="317"/>
      <c r="P45" s="318"/>
      <c r="Q45" s="319"/>
      <c r="R45" s="290" t="s">
        <v>18</v>
      </c>
      <c r="S45" s="383" t="s">
        <v>75</v>
      </c>
      <c r="T45" s="384"/>
      <c r="U45" s="384"/>
      <c r="V45" s="384"/>
      <c r="W45" s="385"/>
      <c r="X45" s="261"/>
      <c r="Y45" s="261"/>
      <c r="Z45" s="320" t="s">
        <v>37</v>
      </c>
      <c r="AA45" s="321"/>
      <c r="AB45" s="322"/>
      <c r="AC45" s="335">
        <v>0.79166666666666663</v>
      </c>
      <c r="AD45" s="324"/>
      <c r="AE45" s="326" t="s">
        <v>39</v>
      </c>
      <c r="AF45" s="226"/>
      <c r="AG45" s="217" t="str">
        <f t="shared" ref="AG45" si="38">Z45</f>
        <v>D:ガネーシャ今出川</v>
      </c>
      <c r="AH45" s="298" t="s">
        <v>66</v>
      </c>
      <c r="AI45" s="208" t="str">
        <f t="shared" ref="AI45" si="39">AE45</f>
        <v>075-366-6122</v>
      </c>
    </row>
    <row r="46" spans="1:35" ht="11.15" hidden="1" customHeight="1">
      <c r="A46" s="230"/>
      <c r="B46" s="289"/>
      <c r="C46" s="343"/>
      <c r="D46" s="344"/>
      <c r="E46" s="311"/>
      <c r="F46" s="312"/>
      <c r="G46" s="312"/>
      <c r="H46" s="312"/>
      <c r="I46" s="312"/>
      <c r="J46" s="312"/>
      <c r="K46" s="312"/>
      <c r="L46" s="312"/>
      <c r="M46" s="312"/>
      <c r="N46" s="313"/>
      <c r="O46" s="369"/>
      <c r="P46" s="370"/>
      <c r="Q46" s="371"/>
      <c r="R46" s="382"/>
      <c r="S46" s="386"/>
      <c r="T46" s="387"/>
      <c r="U46" s="387"/>
      <c r="V46" s="387"/>
      <c r="W46" s="388"/>
      <c r="X46" s="262"/>
      <c r="Y46" s="262"/>
      <c r="Z46" s="357"/>
      <c r="AA46" s="358"/>
      <c r="AB46" s="359"/>
      <c r="AC46" s="336"/>
      <c r="AD46" s="337"/>
      <c r="AE46" s="338"/>
      <c r="AF46" s="227"/>
      <c r="AG46" s="217"/>
      <c r="AH46" s="298"/>
      <c r="AI46" s="208"/>
    </row>
    <row r="47" spans="1:35" ht="11.15" hidden="1" customHeight="1">
      <c r="A47" s="228">
        <f t="shared" ref="A47" si="40">A41+1</f>
        <v>6</v>
      </c>
      <c r="B47" s="231">
        <f>B41+1</f>
        <v>46194</v>
      </c>
      <c r="C47" s="339" t="s">
        <v>118</v>
      </c>
      <c r="D47" s="340"/>
      <c r="E47" s="345" t="s">
        <v>73</v>
      </c>
      <c r="F47" s="346"/>
      <c r="G47" s="346"/>
      <c r="H47" s="346"/>
      <c r="I47" s="346"/>
      <c r="J47" s="346"/>
      <c r="K47" s="346"/>
      <c r="L47" s="346"/>
      <c r="M47" s="346"/>
      <c r="N47" s="347"/>
      <c r="O47" s="314" t="s">
        <v>171</v>
      </c>
      <c r="P47" s="315"/>
      <c r="Q47" s="316"/>
      <c r="R47" s="251" t="s">
        <v>74</v>
      </c>
      <c r="S47" s="374"/>
      <c r="T47" s="374"/>
      <c r="U47" s="374"/>
      <c r="V47" s="374"/>
      <c r="W47" s="375"/>
      <c r="X47" s="260" t="s">
        <v>59</v>
      </c>
      <c r="Y47" s="260"/>
      <c r="Z47" s="327" t="s">
        <v>17</v>
      </c>
      <c r="AA47" s="328"/>
      <c r="AB47" s="329"/>
      <c r="AC47" s="372">
        <v>0.28125</v>
      </c>
      <c r="AD47" s="373"/>
      <c r="AE47" s="389"/>
      <c r="AF47" s="226">
        <f t="shared" ref="AF47" si="41">B47</f>
        <v>46194</v>
      </c>
      <c r="AG47" s="217" t="str">
        <f t="shared" ref="AG47" si="42">Z47</f>
        <v>B:ホテル</v>
      </c>
      <c r="AH47" s="207"/>
      <c r="AI47" s="208">
        <f t="shared" ref="AI47" si="43">AE47</f>
        <v>0</v>
      </c>
    </row>
    <row r="48" spans="1:35" ht="11.15" hidden="1" customHeight="1">
      <c r="A48" s="229"/>
      <c r="B48" s="232"/>
      <c r="C48" s="341"/>
      <c r="D48" s="342"/>
      <c r="E48" s="348"/>
      <c r="F48" s="349"/>
      <c r="G48" s="349"/>
      <c r="H48" s="349"/>
      <c r="I48" s="349"/>
      <c r="J48" s="349"/>
      <c r="K48" s="349"/>
      <c r="L48" s="349"/>
      <c r="M48" s="349"/>
      <c r="N48" s="350"/>
      <c r="O48" s="317"/>
      <c r="P48" s="318"/>
      <c r="Q48" s="319"/>
      <c r="R48" s="376"/>
      <c r="S48" s="377"/>
      <c r="T48" s="377"/>
      <c r="U48" s="377"/>
      <c r="V48" s="377"/>
      <c r="W48" s="378"/>
      <c r="X48" s="261"/>
      <c r="Y48" s="261"/>
      <c r="Z48" s="320"/>
      <c r="AA48" s="321"/>
      <c r="AB48" s="322"/>
      <c r="AC48" s="325"/>
      <c r="AD48" s="324"/>
      <c r="AE48" s="390"/>
      <c r="AF48" s="227"/>
      <c r="AG48" s="217"/>
      <c r="AH48" s="207"/>
      <c r="AI48" s="208"/>
    </row>
    <row r="49" spans="1:35" ht="11.15" hidden="1" customHeight="1">
      <c r="A49" s="229"/>
      <c r="B49" s="232"/>
      <c r="C49" s="341"/>
      <c r="D49" s="342"/>
      <c r="E49" s="348"/>
      <c r="F49" s="349"/>
      <c r="G49" s="349"/>
      <c r="H49" s="349"/>
      <c r="I49" s="349"/>
      <c r="J49" s="349"/>
      <c r="K49" s="349"/>
      <c r="L49" s="349"/>
      <c r="M49" s="349"/>
      <c r="N49" s="350"/>
      <c r="O49" s="317"/>
      <c r="P49" s="318"/>
      <c r="Q49" s="319"/>
      <c r="R49" s="376"/>
      <c r="S49" s="377"/>
      <c r="T49" s="377"/>
      <c r="U49" s="377"/>
      <c r="V49" s="377"/>
      <c r="W49" s="378"/>
      <c r="X49" s="261"/>
      <c r="Y49" s="261"/>
      <c r="Z49" s="320" t="s">
        <v>38</v>
      </c>
      <c r="AA49" s="321"/>
      <c r="AB49" s="322"/>
      <c r="AC49" s="335">
        <v>0.54166666666666663</v>
      </c>
      <c r="AD49" s="324"/>
      <c r="AE49" s="326" t="s">
        <v>40</v>
      </c>
      <c r="AF49" s="226"/>
      <c r="AG49" s="217" t="str">
        <f t="shared" ref="AG49" si="44">Z49</f>
        <v>L:ガネーシャ今出川</v>
      </c>
      <c r="AH49" s="298" t="s">
        <v>66</v>
      </c>
      <c r="AI49" s="208" t="str">
        <f t="shared" ref="AI49" si="45">AE49</f>
        <v>075-366-6122</v>
      </c>
    </row>
    <row r="50" spans="1:35" ht="11.15" hidden="1" customHeight="1">
      <c r="A50" s="229"/>
      <c r="B50" s="232"/>
      <c r="C50" s="341"/>
      <c r="D50" s="342"/>
      <c r="E50" s="348"/>
      <c r="F50" s="349"/>
      <c r="G50" s="349"/>
      <c r="H50" s="349"/>
      <c r="I50" s="349"/>
      <c r="J50" s="349"/>
      <c r="K50" s="349"/>
      <c r="L50" s="349"/>
      <c r="M50" s="349"/>
      <c r="N50" s="350"/>
      <c r="O50" s="317"/>
      <c r="P50" s="318"/>
      <c r="Q50" s="319"/>
      <c r="R50" s="379"/>
      <c r="S50" s="380"/>
      <c r="T50" s="380"/>
      <c r="U50" s="380"/>
      <c r="V50" s="380"/>
      <c r="W50" s="381"/>
      <c r="X50" s="261"/>
      <c r="Y50" s="261"/>
      <c r="Z50" s="320"/>
      <c r="AA50" s="321"/>
      <c r="AB50" s="322"/>
      <c r="AC50" s="325"/>
      <c r="AD50" s="324"/>
      <c r="AE50" s="326"/>
      <c r="AF50" s="227"/>
      <c r="AG50" s="217"/>
      <c r="AH50" s="298"/>
      <c r="AI50" s="208"/>
    </row>
    <row r="51" spans="1:35" ht="11.15" hidden="1" customHeight="1">
      <c r="A51" s="229"/>
      <c r="B51" s="288" t="str">
        <f>TEXT(B47,"(aaa)")</f>
        <v>(日)</v>
      </c>
      <c r="C51" s="341"/>
      <c r="D51" s="342"/>
      <c r="E51" s="348"/>
      <c r="F51" s="349"/>
      <c r="G51" s="349"/>
      <c r="H51" s="349"/>
      <c r="I51" s="349"/>
      <c r="J51" s="349"/>
      <c r="K51" s="349"/>
      <c r="L51" s="349"/>
      <c r="M51" s="349"/>
      <c r="N51" s="350"/>
      <c r="O51" s="317"/>
      <c r="P51" s="318"/>
      <c r="Q51" s="319"/>
      <c r="R51" s="290" t="s">
        <v>18</v>
      </c>
      <c r="S51" s="383" t="s">
        <v>75</v>
      </c>
      <c r="T51" s="384"/>
      <c r="U51" s="384"/>
      <c r="V51" s="384"/>
      <c r="W51" s="385"/>
      <c r="X51" s="261"/>
      <c r="Y51" s="261"/>
      <c r="Z51" s="320" t="s">
        <v>37</v>
      </c>
      <c r="AA51" s="321"/>
      <c r="AB51" s="322"/>
      <c r="AC51" s="335">
        <v>0.79166666666666663</v>
      </c>
      <c r="AD51" s="324"/>
      <c r="AE51" s="326" t="s">
        <v>40</v>
      </c>
      <c r="AF51" s="391"/>
      <c r="AG51" s="393" t="str">
        <f t="shared" ref="AG51" si="46">Z51</f>
        <v>D:ガネーシャ今出川</v>
      </c>
      <c r="AH51" s="396" t="s">
        <v>66</v>
      </c>
      <c r="AI51" s="397" t="str">
        <f t="shared" ref="AI51" si="47">AE51</f>
        <v>075-366-6122</v>
      </c>
    </row>
    <row r="52" spans="1:35" ht="11.15" hidden="1" customHeight="1">
      <c r="A52" s="230"/>
      <c r="B52" s="289"/>
      <c r="C52" s="343"/>
      <c r="D52" s="344"/>
      <c r="E52" s="351"/>
      <c r="F52" s="352"/>
      <c r="G52" s="352"/>
      <c r="H52" s="352"/>
      <c r="I52" s="352"/>
      <c r="J52" s="352"/>
      <c r="K52" s="352"/>
      <c r="L52" s="352"/>
      <c r="M52" s="352"/>
      <c r="N52" s="353"/>
      <c r="O52" s="317"/>
      <c r="P52" s="318"/>
      <c r="Q52" s="319"/>
      <c r="R52" s="382"/>
      <c r="S52" s="386"/>
      <c r="T52" s="387"/>
      <c r="U52" s="387"/>
      <c r="V52" s="387"/>
      <c r="W52" s="388"/>
      <c r="X52" s="262"/>
      <c r="Y52" s="262"/>
      <c r="Z52" s="357"/>
      <c r="AA52" s="358"/>
      <c r="AB52" s="359"/>
      <c r="AC52" s="336"/>
      <c r="AD52" s="337"/>
      <c r="AE52" s="338"/>
      <c r="AF52" s="392"/>
      <c r="AG52" s="393"/>
      <c r="AH52" s="396"/>
      <c r="AI52" s="397"/>
    </row>
    <row r="53" spans="1:35" ht="11.15" customHeight="1">
      <c r="A53" s="228">
        <f t="shared" ref="A53" si="48">A47+1</f>
        <v>7</v>
      </c>
      <c r="B53" s="231">
        <f>B47+1</f>
        <v>46195</v>
      </c>
      <c r="C53" s="339" t="s">
        <v>365</v>
      </c>
      <c r="D53" s="340"/>
      <c r="E53" s="236" t="s">
        <v>379</v>
      </c>
      <c r="F53" s="237"/>
      <c r="G53" s="237"/>
      <c r="H53" s="237"/>
      <c r="I53" s="237"/>
      <c r="J53" s="237"/>
      <c r="K53" s="237"/>
      <c r="L53" s="237"/>
      <c r="M53" s="237"/>
      <c r="N53" s="238"/>
      <c r="O53" s="314" t="s">
        <v>159</v>
      </c>
      <c r="P53" s="315"/>
      <c r="Q53" s="316"/>
      <c r="R53" s="251" t="s">
        <v>136</v>
      </c>
      <c r="S53" s="374"/>
      <c r="T53" s="374"/>
      <c r="U53" s="374"/>
      <c r="V53" s="374"/>
      <c r="W53" s="375"/>
      <c r="X53" s="260" t="s">
        <v>59</v>
      </c>
      <c r="Y53" s="260"/>
      <c r="Z53" s="472" t="s">
        <v>17</v>
      </c>
      <c r="AA53" s="473"/>
      <c r="AB53" s="474"/>
      <c r="AC53" s="570">
        <v>0.28125</v>
      </c>
      <c r="AD53" s="479"/>
      <c r="AE53" s="482"/>
      <c r="AF53" s="226">
        <f t="shared" ref="AF53" si="49">B53</f>
        <v>46195</v>
      </c>
      <c r="AG53" s="217" t="str">
        <f t="shared" ref="AG53" si="50">Z53</f>
        <v>B:ホテル</v>
      </c>
      <c r="AH53" s="207"/>
      <c r="AI53" s="208">
        <f t="shared" ref="AI53" si="51">AE53</f>
        <v>0</v>
      </c>
    </row>
    <row r="54" spans="1:35" ht="11.15" customHeight="1">
      <c r="A54" s="229"/>
      <c r="B54" s="232"/>
      <c r="C54" s="341"/>
      <c r="D54" s="342"/>
      <c r="E54" s="239"/>
      <c r="F54" s="240"/>
      <c r="G54" s="240"/>
      <c r="H54" s="240"/>
      <c r="I54" s="240"/>
      <c r="J54" s="240"/>
      <c r="K54" s="240"/>
      <c r="L54" s="240"/>
      <c r="M54" s="240"/>
      <c r="N54" s="241"/>
      <c r="O54" s="317"/>
      <c r="P54" s="318"/>
      <c r="Q54" s="319"/>
      <c r="R54" s="376"/>
      <c r="S54" s="377"/>
      <c r="T54" s="377"/>
      <c r="U54" s="377"/>
      <c r="V54" s="377"/>
      <c r="W54" s="378"/>
      <c r="X54" s="261"/>
      <c r="Y54" s="261"/>
      <c r="Z54" s="475"/>
      <c r="AA54" s="476"/>
      <c r="AB54" s="477"/>
      <c r="AC54" s="480"/>
      <c r="AD54" s="481"/>
      <c r="AE54" s="483"/>
      <c r="AF54" s="227"/>
      <c r="AG54" s="217"/>
      <c r="AH54" s="207"/>
      <c r="AI54" s="208"/>
    </row>
    <row r="55" spans="1:35" ht="11.15" customHeight="1">
      <c r="A55" s="229"/>
      <c r="B55" s="232"/>
      <c r="C55" s="341"/>
      <c r="D55" s="342"/>
      <c r="E55" s="239"/>
      <c r="F55" s="240"/>
      <c r="G55" s="240"/>
      <c r="H55" s="240"/>
      <c r="I55" s="240"/>
      <c r="J55" s="240"/>
      <c r="K55" s="240"/>
      <c r="L55" s="240"/>
      <c r="M55" s="240"/>
      <c r="N55" s="241"/>
      <c r="O55" s="317"/>
      <c r="P55" s="318"/>
      <c r="Q55" s="319"/>
      <c r="R55" s="376"/>
      <c r="S55" s="377"/>
      <c r="T55" s="377"/>
      <c r="U55" s="377"/>
      <c r="V55" s="377"/>
      <c r="W55" s="378"/>
      <c r="X55" s="261"/>
      <c r="Y55" s="261"/>
      <c r="Z55" s="401" t="s">
        <v>126</v>
      </c>
      <c r="AA55" s="402"/>
      <c r="AB55" s="403"/>
      <c r="AC55" s="212">
        <v>0.52777777777777779</v>
      </c>
      <c r="AD55" s="213"/>
      <c r="AE55" s="326" t="s">
        <v>63</v>
      </c>
      <c r="AF55" s="226"/>
      <c r="AG55" s="217" t="str">
        <f t="shared" ref="AG55" si="52">Z55</f>
        <v>L:パムズ・ダイン・アンド・グリル</v>
      </c>
      <c r="AH55" s="298" t="s">
        <v>125</v>
      </c>
      <c r="AI55" s="208" t="str">
        <f t="shared" ref="AI55" si="53">AE55</f>
        <v>0460-83-3955</v>
      </c>
    </row>
    <row r="56" spans="1:35" ht="11.15" customHeight="1">
      <c r="A56" s="229"/>
      <c r="B56" s="232"/>
      <c r="C56" s="341"/>
      <c r="D56" s="342"/>
      <c r="E56" s="239"/>
      <c r="F56" s="240"/>
      <c r="G56" s="240"/>
      <c r="H56" s="240"/>
      <c r="I56" s="240"/>
      <c r="J56" s="240"/>
      <c r="K56" s="240"/>
      <c r="L56" s="240"/>
      <c r="M56" s="240"/>
      <c r="N56" s="241"/>
      <c r="O56" s="317"/>
      <c r="P56" s="318"/>
      <c r="Q56" s="319"/>
      <c r="R56" s="379"/>
      <c r="S56" s="380"/>
      <c r="T56" s="380"/>
      <c r="U56" s="380"/>
      <c r="V56" s="380"/>
      <c r="W56" s="381"/>
      <c r="X56" s="261"/>
      <c r="Y56" s="261"/>
      <c r="Z56" s="401"/>
      <c r="AA56" s="402"/>
      <c r="AB56" s="403"/>
      <c r="AC56" s="214"/>
      <c r="AD56" s="213"/>
      <c r="AE56" s="326"/>
      <c r="AF56" s="227"/>
      <c r="AG56" s="217"/>
      <c r="AH56" s="298"/>
      <c r="AI56" s="208"/>
    </row>
    <row r="57" spans="1:35" ht="11.15" customHeight="1">
      <c r="A57" s="229"/>
      <c r="B57" s="288" t="str">
        <f>TEXT(B53,"(aaa)")</f>
        <v>(月)</v>
      </c>
      <c r="C57" s="341"/>
      <c r="D57" s="342"/>
      <c r="E57" s="239"/>
      <c r="F57" s="240"/>
      <c r="G57" s="240"/>
      <c r="H57" s="240"/>
      <c r="I57" s="240"/>
      <c r="J57" s="240"/>
      <c r="K57" s="240"/>
      <c r="L57" s="240"/>
      <c r="M57" s="240"/>
      <c r="N57" s="241"/>
      <c r="O57" s="317"/>
      <c r="P57" s="318"/>
      <c r="Q57" s="319"/>
      <c r="R57" s="290" t="s">
        <v>137</v>
      </c>
      <c r="S57" s="292" t="s">
        <v>138</v>
      </c>
      <c r="T57" s="384"/>
      <c r="U57" s="384"/>
      <c r="V57" s="384"/>
      <c r="W57" s="385"/>
      <c r="X57" s="261"/>
      <c r="Y57" s="261"/>
      <c r="Z57" s="320" t="s">
        <v>143</v>
      </c>
      <c r="AA57" s="321"/>
      <c r="AB57" s="322"/>
      <c r="AC57" s="212">
        <v>0.79166666666666663</v>
      </c>
      <c r="AD57" s="213"/>
      <c r="AE57" s="326" t="s">
        <v>144</v>
      </c>
      <c r="AF57" s="226"/>
      <c r="AG57" s="217" t="str">
        <f t="shared" ref="AG57" si="54">Z57</f>
        <v>D:バルティヤ・ザイカ平塚店</v>
      </c>
      <c r="AH57" s="298" t="s">
        <v>145</v>
      </c>
      <c r="AI57" s="208" t="str">
        <f t="shared" ref="AI57" si="55">AE57</f>
        <v>0463-20-8181</v>
      </c>
    </row>
    <row r="58" spans="1:35" ht="11.15" customHeight="1">
      <c r="A58" s="230"/>
      <c r="B58" s="289"/>
      <c r="C58" s="343"/>
      <c r="D58" s="344"/>
      <c r="E58" s="242"/>
      <c r="F58" s="243"/>
      <c r="G58" s="243"/>
      <c r="H58" s="243"/>
      <c r="I58" s="243"/>
      <c r="J58" s="243"/>
      <c r="K58" s="243"/>
      <c r="L58" s="243"/>
      <c r="M58" s="243"/>
      <c r="N58" s="244"/>
      <c r="O58" s="317"/>
      <c r="P58" s="318"/>
      <c r="Q58" s="319"/>
      <c r="R58" s="382"/>
      <c r="S58" s="386"/>
      <c r="T58" s="387"/>
      <c r="U58" s="387"/>
      <c r="V58" s="387"/>
      <c r="W58" s="388"/>
      <c r="X58" s="262"/>
      <c r="Y58" s="262"/>
      <c r="Z58" s="357"/>
      <c r="AA58" s="358"/>
      <c r="AB58" s="359"/>
      <c r="AC58" s="266"/>
      <c r="AD58" s="267"/>
      <c r="AE58" s="338"/>
      <c r="AF58" s="227"/>
      <c r="AG58" s="217"/>
      <c r="AH58" s="298"/>
      <c r="AI58" s="208"/>
    </row>
    <row r="59" spans="1:35" ht="11.15" customHeight="1">
      <c r="A59" s="228">
        <f t="shared" ref="A59" si="56">A53+1</f>
        <v>8</v>
      </c>
      <c r="B59" s="231">
        <f>B53+1</f>
        <v>46196</v>
      </c>
      <c r="C59" s="339" t="s">
        <v>115</v>
      </c>
      <c r="D59" s="340"/>
      <c r="E59" s="404" t="s">
        <v>129</v>
      </c>
      <c r="F59" s="405"/>
      <c r="G59" s="405"/>
      <c r="H59" s="405"/>
      <c r="I59" s="405"/>
      <c r="J59" s="405"/>
      <c r="K59" s="405"/>
      <c r="L59" s="405"/>
      <c r="M59" s="405"/>
      <c r="N59" s="406"/>
      <c r="O59" s="314"/>
      <c r="P59" s="315"/>
      <c r="Q59" s="316"/>
      <c r="R59" s="251" t="s">
        <v>121</v>
      </c>
      <c r="S59" s="374"/>
      <c r="T59" s="374"/>
      <c r="U59" s="374"/>
      <c r="V59" s="374"/>
      <c r="W59" s="375"/>
      <c r="X59" s="260" t="s">
        <v>59</v>
      </c>
      <c r="Y59" s="260"/>
      <c r="Z59" s="398" t="s">
        <v>17</v>
      </c>
      <c r="AA59" s="399"/>
      <c r="AB59" s="400"/>
      <c r="AC59" s="394">
        <v>0.29166666666666669</v>
      </c>
      <c r="AD59" s="224"/>
      <c r="AE59" s="395"/>
      <c r="AF59" s="226">
        <f t="shared" ref="AF59" si="57">B59</f>
        <v>46196</v>
      </c>
      <c r="AG59" s="217" t="str">
        <f t="shared" ref="AG59" si="58">Z59</f>
        <v>B:ホテル</v>
      </c>
      <c r="AH59" s="207"/>
      <c r="AI59" s="208">
        <f t="shared" ref="AI59" si="59">AE59</f>
        <v>0</v>
      </c>
    </row>
    <row r="60" spans="1:35" ht="11.15" customHeight="1">
      <c r="A60" s="229"/>
      <c r="B60" s="232"/>
      <c r="C60" s="341"/>
      <c r="D60" s="342"/>
      <c r="E60" s="407"/>
      <c r="F60" s="408"/>
      <c r="G60" s="408"/>
      <c r="H60" s="408"/>
      <c r="I60" s="408"/>
      <c r="J60" s="408"/>
      <c r="K60" s="408"/>
      <c r="L60" s="408"/>
      <c r="M60" s="408"/>
      <c r="N60" s="409"/>
      <c r="O60" s="317"/>
      <c r="P60" s="318"/>
      <c r="Q60" s="319"/>
      <c r="R60" s="376"/>
      <c r="S60" s="377"/>
      <c r="T60" s="377"/>
      <c r="U60" s="377"/>
      <c r="V60" s="377"/>
      <c r="W60" s="378"/>
      <c r="X60" s="261"/>
      <c r="Y60" s="261"/>
      <c r="Z60" s="320"/>
      <c r="AA60" s="321"/>
      <c r="AB60" s="322"/>
      <c r="AC60" s="214"/>
      <c r="AD60" s="213"/>
      <c r="AE60" s="326"/>
      <c r="AF60" s="227"/>
      <c r="AG60" s="217"/>
      <c r="AH60" s="207"/>
      <c r="AI60" s="208"/>
    </row>
    <row r="61" spans="1:35" ht="11.15" customHeight="1">
      <c r="A61" s="229"/>
      <c r="B61" s="232"/>
      <c r="C61" s="341"/>
      <c r="D61" s="342"/>
      <c r="E61" s="407"/>
      <c r="F61" s="408"/>
      <c r="G61" s="408"/>
      <c r="H61" s="408"/>
      <c r="I61" s="408"/>
      <c r="J61" s="408"/>
      <c r="K61" s="408"/>
      <c r="L61" s="408"/>
      <c r="M61" s="408"/>
      <c r="N61" s="409"/>
      <c r="O61" s="317"/>
      <c r="P61" s="318"/>
      <c r="Q61" s="319"/>
      <c r="R61" s="376"/>
      <c r="S61" s="377"/>
      <c r="T61" s="377"/>
      <c r="U61" s="377"/>
      <c r="V61" s="377"/>
      <c r="W61" s="378"/>
      <c r="X61" s="261"/>
      <c r="Y61" s="261"/>
      <c r="Z61" s="320" t="s">
        <v>65</v>
      </c>
      <c r="AA61" s="321"/>
      <c r="AB61" s="322"/>
      <c r="AC61" s="212">
        <v>0.52083333333333337</v>
      </c>
      <c r="AD61" s="213"/>
      <c r="AE61" s="326" t="s">
        <v>64</v>
      </c>
      <c r="AF61" s="226"/>
      <c r="AG61" s="217" t="str">
        <f t="shared" ref="AG61" si="60">Z61</f>
        <v>L:サナム山中湖</v>
      </c>
      <c r="AH61" s="298" t="s">
        <v>127</v>
      </c>
      <c r="AI61" s="208" t="str">
        <f t="shared" ref="AI61" si="61">AE61</f>
        <v>0555-25-7033</v>
      </c>
    </row>
    <row r="62" spans="1:35" ht="11.15" customHeight="1">
      <c r="A62" s="229"/>
      <c r="B62" s="232"/>
      <c r="C62" s="341"/>
      <c r="D62" s="342"/>
      <c r="E62" s="407"/>
      <c r="F62" s="408"/>
      <c r="G62" s="408"/>
      <c r="H62" s="408"/>
      <c r="I62" s="408"/>
      <c r="J62" s="408"/>
      <c r="K62" s="408"/>
      <c r="L62" s="408"/>
      <c r="M62" s="408"/>
      <c r="N62" s="409"/>
      <c r="O62" s="317"/>
      <c r="P62" s="318"/>
      <c r="Q62" s="319"/>
      <c r="R62" s="379"/>
      <c r="S62" s="380"/>
      <c r="T62" s="380"/>
      <c r="U62" s="380"/>
      <c r="V62" s="380"/>
      <c r="W62" s="381"/>
      <c r="X62" s="261"/>
      <c r="Y62" s="261"/>
      <c r="Z62" s="320"/>
      <c r="AA62" s="321"/>
      <c r="AB62" s="322"/>
      <c r="AC62" s="214"/>
      <c r="AD62" s="213"/>
      <c r="AE62" s="326"/>
      <c r="AF62" s="227"/>
      <c r="AG62" s="217"/>
      <c r="AH62" s="298"/>
      <c r="AI62" s="208"/>
    </row>
    <row r="63" spans="1:35" ht="11.15" customHeight="1">
      <c r="A63" s="229"/>
      <c r="B63" s="288" t="str">
        <f>TEXT(B59,"(aaa)")</f>
        <v>(火)</v>
      </c>
      <c r="C63" s="341"/>
      <c r="D63" s="342"/>
      <c r="E63" s="407"/>
      <c r="F63" s="408"/>
      <c r="G63" s="408"/>
      <c r="H63" s="408"/>
      <c r="I63" s="408"/>
      <c r="J63" s="408"/>
      <c r="K63" s="408"/>
      <c r="L63" s="408"/>
      <c r="M63" s="408"/>
      <c r="N63" s="409"/>
      <c r="O63" s="317"/>
      <c r="P63" s="318"/>
      <c r="Q63" s="319"/>
      <c r="R63" s="290" t="s">
        <v>76</v>
      </c>
      <c r="S63" s="292" t="s">
        <v>120</v>
      </c>
      <c r="T63" s="384"/>
      <c r="U63" s="384"/>
      <c r="V63" s="384"/>
      <c r="W63" s="385"/>
      <c r="X63" s="261"/>
      <c r="Y63" s="261"/>
      <c r="Z63" s="320" t="s">
        <v>151</v>
      </c>
      <c r="AA63" s="321"/>
      <c r="AB63" s="322"/>
      <c r="AC63" s="212">
        <v>0.79166666666666663</v>
      </c>
      <c r="AD63" s="213"/>
      <c r="AE63" s="326" t="s">
        <v>147</v>
      </c>
      <c r="AF63" s="226"/>
      <c r="AG63" s="217" t="str">
        <f t="shared" ref="AG63" si="62">Z63</f>
        <v>D:モリンガ西葛西</v>
      </c>
      <c r="AH63" s="298" t="s">
        <v>148</v>
      </c>
      <c r="AI63" s="208" t="str">
        <f t="shared" ref="AI63" si="63">AE63</f>
        <v>03-6770-9006</v>
      </c>
    </row>
    <row r="64" spans="1:35" ht="11.15" customHeight="1">
      <c r="A64" s="230"/>
      <c r="B64" s="289"/>
      <c r="C64" s="343"/>
      <c r="D64" s="344"/>
      <c r="E64" s="410"/>
      <c r="F64" s="411"/>
      <c r="G64" s="411"/>
      <c r="H64" s="411"/>
      <c r="I64" s="411"/>
      <c r="J64" s="411"/>
      <c r="K64" s="411"/>
      <c r="L64" s="411"/>
      <c r="M64" s="411"/>
      <c r="N64" s="412"/>
      <c r="O64" s="317"/>
      <c r="P64" s="318"/>
      <c r="Q64" s="319"/>
      <c r="R64" s="382"/>
      <c r="S64" s="386"/>
      <c r="T64" s="387"/>
      <c r="U64" s="387"/>
      <c r="V64" s="387"/>
      <c r="W64" s="388"/>
      <c r="X64" s="262"/>
      <c r="Y64" s="262"/>
      <c r="Z64" s="357"/>
      <c r="AA64" s="358"/>
      <c r="AB64" s="359"/>
      <c r="AC64" s="266"/>
      <c r="AD64" s="267"/>
      <c r="AE64" s="338"/>
      <c r="AF64" s="227"/>
      <c r="AG64" s="217"/>
      <c r="AH64" s="298"/>
      <c r="AI64" s="208"/>
    </row>
    <row r="65" spans="1:35" ht="11.15" customHeight="1">
      <c r="A65" s="228">
        <f t="shared" ref="A65" si="64">A59+1</f>
        <v>9</v>
      </c>
      <c r="B65" s="231">
        <f t="shared" ref="B65" si="65">B59+1</f>
        <v>46197</v>
      </c>
      <c r="C65" s="339" t="s">
        <v>115</v>
      </c>
      <c r="D65" s="340"/>
      <c r="E65" s="345" t="s">
        <v>81</v>
      </c>
      <c r="F65" s="346"/>
      <c r="G65" s="346"/>
      <c r="H65" s="346"/>
      <c r="I65" s="346"/>
      <c r="J65" s="346"/>
      <c r="K65" s="346"/>
      <c r="L65" s="346"/>
      <c r="M65" s="346"/>
      <c r="N65" s="347"/>
      <c r="O65" s="314" t="s">
        <v>377</v>
      </c>
      <c r="P65" s="315"/>
      <c r="Q65" s="316"/>
      <c r="R65" s="251" t="s">
        <v>121</v>
      </c>
      <c r="S65" s="374"/>
      <c r="T65" s="374"/>
      <c r="U65" s="374"/>
      <c r="V65" s="374"/>
      <c r="W65" s="375"/>
      <c r="X65" s="260" t="s">
        <v>59</v>
      </c>
      <c r="Y65" s="260"/>
      <c r="Z65" s="398" t="s">
        <v>17</v>
      </c>
      <c r="AA65" s="399"/>
      <c r="AB65" s="400"/>
      <c r="AC65" s="372">
        <v>0.27083333333333331</v>
      </c>
      <c r="AD65" s="373"/>
      <c r="AE65" s="395"/>
      <c r="AF65" s="226">
        <f t="shared" ref="AF65" si="66">B65</f>
        <v>46197</v>
      </c>
      <c r="AG65" s="217" t="str">
        <f t="shared" ref="AG65" si="67">Z65</f>
        <v>B:ホテル</v>
      </c>
      <c r="AH65" s="207"/>
      <c r="AI65" s="208">
        <f t="shared" ref="AI65" si="68">AE65</f>
        <v>0</v>
      </c>
    </row>
    <row r="66" spans="1:35" ht="11.15" customHeight="1">
      <c r="A66" s="229"/>
      <c r="B66" s="232"/>
      <c r="C66" s="341"/>
      <c r="D66" s="342"/>
      <c r="E66" s="348"/>
      <c r="F66" s="349"/>
      <c r="G66" s="349"/>
      <c r="H66" s="349"/>
      <c r="I66" s="349"/>
      <c r="J66" s="349"/>
      <c r="K66" s="349"/>
      <c r="L66" s="349"/>
      <c r="M66" s="349"/>
      <c r="N66" s="350"/>
      <c r="O66" s="317"/>
      <c r="P66" s="318"/>
      <c r="Q66" s="319"/>
      <c r="R66" s="376"/>
      <c r="S66" s="377"/>
      <c r="T66" s="377"/>
      <c r="U66" s="377"/>
      <c r="V66" s="377"/>
      <c r="W66" s="378"/>
      <c r="X66" s="261"/>
      <c r="Y66" s="261"/>
      <c r="Z66" s="320"/>
      <c r="AA66" s="321"/>
      <c r="AB66" s="322"/>
      <c r="AC66" s="325"/>
      <c r="AD66" s="324"/>
      <c r="AE66" s="326"/>
      <c r="AF66" s="227"/>
      <c r="AG66" s="217"/>
      <c r="AH66" s="207"/>
      <c r="AI66" s="208"/>
    </row>
    <row r="67" spans="1:35" ht="11.15" customHeight="1">
      <c r="A67" s="229"/>
      <c r="B67" s="232"/>
      <c r="C67" s="341"/>
      <c r="D67" s="342"/>
      <c r="E67" s="348"/>
      <c r="F67" s="349"/>
      <c r="G67" s="349"/>
      <c r="H67" s="349"/>
      <c r="I67" s="349"/>
      <c r="J67" s="349"/>
      <c r="K67" s="349"/>
      <c r="L67" s="349"/>
      <c r="M67" s="349"/>
      <c r="N67" s="350"/>
      <c r="O67" s="317"/>
      <c r="P67" s="318"/>
      <c r="Q67" s="319"/>
      <c r="R67" s="376"/>
      <c r="S67" s="377"/>
      <c r="T67" s="377"/>
      <c r="U67" s="377"/>
      <c r="V67" s="377"/>
      <c r="W67" s="378"/>
      <c r="X67" s="261"/>
      <c r="Y67" s="261"/>
      <c r="Z67" s="320" t="s">
        <v>80</v>
      </c>
      <c r="AA67" s="321"/>
      <c r="AB67" s="322"/>
      <c r="AC67" s="413" t="s">
        <v>36</v>
      </c>
      <c r="AD67" s="213"/>
      <c r="AE67" s="326"/>
      <c r="AF67" s="226"/>
      <c r="AG67" s="217" t="str">
        <f t="shared" ref="AG67" si="69">Z67</f>
        <v>L:2,500円返金</v>
      </c>
      <c r="AH67" s="298"/>
      <c r="AI67" s="208">
        <f t="shared" ref="AI67" si="70">AE67</f>
        <v>0</v>
      </c>
    </row>
    <row r="68" spans="1:35" ht="11.15" customHeight="1">
      <c r="A68" s="229"/>
      <c r="B68" s="232"/>
      <c r="C68" s="341"/>
      <c r="D68" s="342"/>
      <c r="E68" s="348"/>
      <c r="F68" s="349"/>
      <c r="G68" s="349"/>
      <c r="H68" s="349"/>
      <c r="I68" s="349"/>
      <c r="J68" s="349"/>
      <c r="K68" s="349"/>
      <c r="L68" s="349"/>
      <c r="M68" s="349"/>
      <c r="N68" s="350"/>
      <c r="O68" s="317"/>
      <c r="P68" s="318"/>
      <c r="Q68" s="319"/>
      <c r="R68" s="379"/>
      <c r="S68" s="380"/>
      <c r="T68" s="380"/>
      <c r="U68" s="380"/>
      <c r="V68" s="380"/>
      <c r="W68" s="381"/>
      <c r="X68" s="261"/>
      <c r="Y68" s="261"/>
      <c r="Z68" s="320"/>
      <c r="AA68" s="321"/>
      <c r="AB68" s="322"/>
      <c r="AC68" s="214"/>
      <c r="AD68" s="213"/>
      <c r="AE68" s="326"/>
      <c r="AF68" s="227"/>
      <c r="AG68" s="217"/>
      <c r="AH68" s="298"/>
      <c r="AI68" s="208"/>
    </row>
    <row r="69" spans="1:35" ht="11.15" customHeight="1">
      <c r="A69" s="229"/>
      <c r="B69" s="288" t="str">
        <f>TEXT(B65,"(aaa)")</f>
        <v>(水)</v>
      </c>
      <c r="C69" s="341"/>
      <c r="D69" s="342"/>
      <c r="E69" s="348"/>
      <c r="F69" s="349"/>
      <c r="G69" s="349"/>
      <c r="H69" s="349"/>
      <c r="I69" s="349"/>
      <c r="J69" s="349"/>
      <c r="K69" s="349"/>
      <c r="L69" s="349"/>
      <c r="M69" s="349"/>
      <c r="N69" s="350"/>
      <c r="O69" s="317"/>
      <c r="P69" s="318"/>
      <c r="Q69" s="319"/>
      <c r="R69" s="290" t="s">
        <v>76</v>
      </c>
      <c r="S69" s="292" t="s">
        <v>120</v>
      </c>
      <c r="T69" s="384"/>
      <c r="U69" s="384"/>
      <c r="V69" s="384"/>
      <c r="W69" s="385"/>
      <c r="X69" s="261"/>
      <c r="Y69" s="261"/>
      <c r="Z69" s="320" t="s">
        <v>151</v>
      </c>
      <c r="AA69" s="321"/>
      <c r="AB69" s="322"/>
      <c r="AC69" s="212">
        <v>0.79166666666666663</v>
      </c>
      <c r="AD69" s="213"/>
      <c r="AE69" s="326" t="s">
        <v>147</v>
      </c>
      <c r="AF69" s="226"/>
      <c r="AG69" s="217" t="str">
        <f t="shared" ref="AG69" si="71">Z69</f>
        <v>D:モリンガ西葛西</v>
      </c>
      <c r="AH69" s="298" t="s">
        <v>148</v>
      </c>
      <c r="AI69" s="208" t="str">
        <f t="shared" ref="AI69" si="72">AE69</f>
        <v>03-6770-9006</v>
      </c>
    </row>
    <row r="70" spans="1:35" ht="11.15" customHeight="1">
      <c r="A70" s="230"/>
      <c r="B70" s="289"/>
      <c r="C70" s="343"/>
      <c r="D70" s="344"/>
      <c r="E70" s="351"/>
      <c r="F70" s="352"/>
      <c r="G70" s="352"/>
      <c r="H70" s="352"/>
      <c r="I70" s="352"/>
      <c r="J70" s="352"/>
      <c r="K70" s="352"/>
      <c r="L70" s="352"/>
      <c r="M70" s="352"/>
      <c r="N70" s="353"/>
      <c r="O70" s="317"/>
      <c r="P70" s="318"/>
      <c r="Q70" s="319"/>
      <c r="R70" s="382"/>
      <c r="S70" s="386"/>
      <c r="T70" s="387"/>
      <c r="U70" s="387"/>
      <c r="V70" s="387"/>
      <c r="W70" s="388"/>
      <c r="X70" s="262"/>
      <c r="Y70" s="262"/>
      <c r="Z70" s="357"/>
      <c r="AA70" s="358"/>
      <c r="AB70" s="359"/>
      <c r="AC70" s="266"/>
      <c r="AD70" s="267"/>
      <c r="AE70" s="338"/>
      <c r="AF70" s="227"/>
      <c r="AG70" s="217"/>
      <c r="AH70" s="298"/>
      <c r="AI70" s="208"/>
    </row>
    <row r="71" spans="1:35" ht="11.15" customHeight="1">
      <c r="A71" s="228">
        <f t="shared" ref="A71" si="73">A65+1</f>
        <v>10</v>
      </c>
      <c r="B71" s="231">
        <f t="shared" ref="B71" si="74">B65+1</f>
        <v>46198</v>
      </c>
      <c r="C71" s="339" t="s">
        <v>115</v>
      </c>
      <c r="D71" s="340"/>
      <c r="E71" s="236" t="s">
        <v>376</v>
      </c>
      <c r="F71" s="237"/>
      <c r="G71" s="237"/>
      <c r="H71" s="237"/>
      <c r="I71" s="237"/>
      <c r="J71" s="237"/>
      <c r="K71" s="237"/>
      <c r="L71" s="237"/>
      <c r="M71" s="237"/>
      <c r="N71" s="238"/>
      <c r="O71" s="511" t="s">
        <v>338</v>
      </c>
      <c r="P71" s="512"/>
      <c r="Q71" s="513"/>
      <c r="R71" s="251" t="s">
        <v>121</v>
      </c>
      <c r="S71" s="374"/>
      <c r="T71" s="374"/>
      <c r="U71" s="374"/>
      <c r="V71" s="374"/>
      <c r="W71" s="375"/>
      <c r="X71" s="260" t="s">
        <v>59</v>
      </c>
      <c r="Y71" s="260"/>
      <c r="Z71" s="327" t="s">
        <v>17</v>
      </c>
      <c r="AA71" s="328"/>
      <c r="AB71" s="329"/>
      <c r="AC71" s="372">
        <v>0.27083333333333331</v>
      </c>
      <c r="AD71" s="373"/>
      <c r="AE71" s="334"/>
      <c r="AF71" s="226">
        <f t="shared" ref="AF71" si="75">B71</f>
        <v>46198</v>
      </c>
      <c r="AG71" s="217" t="str">
        <f t="shared" ref="AG71" si="76">Z71</f>
        <v>B:ホテル</v>
      </c>
      <c r="AH71" s="207"/>
      <c r="AI71" s="208">
        <f t="shared" ref="AI71" si="77">AE71</f>
        <v>0</v>
      </c>
    </row>
    <row r="72" spans="1:35" ht="11.15" customHeight="1">
      <c r="A72" s="229"/>
      <c r="B72" s="232"/>
      <c r="C72" s="341"/>
      <c r="D72" s="342"/>
      <c r="E72" s="239"/>
      <c r="F72" s="240"/>
      <c r="G72" s="240"/>
      <c r="H72" s="240"/>
      <c r="I72" s="240"/>
      <c r="J72" s="240"/>
      <c r="K72" s="240"/>
      <c r="L72" s="240"/>
      <c r="M72" s="240"/>
      <c r="N72" s="241"/>
      <c r="O72" s="514"/>
      <c r="P72" s="515"/>
      <c r="Q72" s="516"/>
      <c r="R72" s="376"/>
      <c r="S72" s="377"/>
      <c r="T72" s="377"/>
      <c r="U72" s="377"/>
      <c r="V72" s="377"/>
      <c r="W72" s="378"/>
      <c r="X72" s="261"/>
      <c r="Y72" s="261"/>
      <c r="Z72" s="320"/>
      <c r="AA72" s="321"/>
      <c r="AB72" s="322"/>
      <c r="AC72" s="325"/>
      <c r="AD72" s="324"/>
      <c r="AE72" s="326"/>
      <c r="AF72" s="227"/>
      <c r="AG72" s="217"/>
      <c r="AH72" s="207"/>
      <c r="AI72" s="208"/>
    </row>
    <row r="73" spans="1:35" ht="11.15" customHeight="1">
      <c r="A73" s="229"/>
      <c r="B73" s="232"/>
      <c r="C73" s="341"/>
      <c r="D73" s="342"/>
      <c r="E73" s="239"/>
      <c r="F73" s="240"/>
      <c r="G73" s="240"/>
      <c r="H73" s="240"/>
      <c r="I73" s="240"/>
      <c r="J73" s="240"/>
      <c r="K73" s="240"/>
      <c r="L73" s="240"/>
      <c r="M73" s="240"/>
      <c r="N73" s="241"/>
      <c r="O73" s="514"/>
      <c r="P73" s="515"/>
      <c r="Q73" s="516"/>
      <c r="R73" s="376"/>
      <c r="S73" s="377"/>
      <c r="T73" s="377"/>
      <c r="U73" s="377"/>
      <c r="V73" s="377"/>
      <c r="W73" s="378"/>
      <c r="X73" s="261"/>
      <c r="Y73" s="261"/>
      <c r="Z73" s="209" t="s">
        <v>21</v>
      </c>
      <c r="AA73" s="210"/>
      <c r="AB73" s="211"/>
      <c r="AC73" s="212">
        <v>0.51041666666666663</v>
      </c>
      <c r="AD73" s="213"/>
      <c r="AE73" s="215" t="s">
        <v>25</v>
      </c>
      <c r="AF73" s="226"/>
      <c r="AG73" s="217" t="str">
        <f t="shared" ref="AG73" si="78">Z73</f>
        <v>L:ADY</v>
      </c>
      <c r="AH73" s="298" t="s">
        <v>67</v>
      </c>
      <c r="AI73" s="208" t="str">
        <f t="shared" ref="AI73" si="79">AE73</f>
        <v>03-6457-9833</v>
      </c>
    </row>
    <row r="74" spans="1:35" ht="11.15" customHeight="1">
      <c r="A74" s="229"/>
      <c r="B74" s="232"/>
      <c r="C74" s="341"/>
      <c r="D74" s="342"/>
      <c r="E74" s="239"/>
      <c r="F74" s="240"/>
      <c r="G74" s="240"/>
      <c r="H74" s="240"/>
      <c r="I74" s="240"/>
      <c r="J74" s="240"/>
      <c r="K74" s="240"/>
      <c r="L74" s="240"/>
      <c r="M74" s="240"/>
      <c r="N74" s="241"/>
      <c r="O74" s="514"/>
      <c r="P74" s="515"/>
      <c r="Q74" s="516"/>
      <c r="R74" s="379"/>
      <c r="S74" s="380"/>
      <c r="T74" s="380"/>
      <c r="U74" s="380"/>
      <c r="V74" s="380"/>
      <c r="W74" s="381"/>
      <c r="X74" s="261"/>
      <c r="Y74" s="261"/>
      <c r="Z74" s="209"/>
      <c r="AA74" s="210"/>
      <c r="AB74" s="211"/>
      <c r="AC74" s="214"/>
      <c r="AD74" s="213"/>
      <c r="AE74" s="215"/>
      <c r="AF74" s="227"/>
      <c r="AG74" s="217"/>
      <c r="AH74" s="298"/>
      <c r="AI74" s="208"/>
    </row>
    <row r="75" spans="1:35" ht="11.15" customHeight="1">
      <c r="A75" s="229"/>
      <c r="B75" s="288" t="str">
        <f>TEXT(B71,"(aaa)")</f>
        <v>(木)</v>
      </c>
      <c r="C75" s="341"/>
      <c r="D75" s="342"/>
      <c r="E75" s="239"/>
      <c r="F75" s="240"/>
      <c r="G75" s="240"/>
      <c r="H75" s="240"/>
      <c r="I75" s="240"/>
      <c r="J75" s="240"/>
      <c r="K75" s="240"/>
      <c r="L75" s="240"/>
      <c r="M75" s="240"/>
      <c r="N75" s="241"/>
      <c r="O75" s="514"/>
      <c r="P75" s="515"/>
      <c r="Q75" s="516"/>
      <c r="R75" s="290" t="s">
        <v>76</v>
      </c>
      <c r="S75" s="292" t="s">
        <v>120</v>
      </c>
      <c r="T75" s="384"/>
      <c r="U75" s="384"/>
      <c r="V75" s="384"/>
      <c r="W75" s="385"/>
      <c r="X75" s="261"/>
      <c r="Y75" s="261"/>
      <c r="Z75" s="209" t="s">
        <v>22</v>
      </c>
      <c r="AA75" s="210"/>
      <c r="AB75" s="211"/>
      <c r="AC75" s="212">
        <v>0.79166666666666663</v>
      </c>
      <c r="AD75" s="213"/>
      <c r="AE75" s="215" t="s">
        <v>25</v>
      </c>
      <c r="AF75" s="226"/>
      <c r="AG75" s="217" t="str">
        <f t="shared" ref="AG75" si="80">Z75</f>
        <v>D:ADY</v>
      </c>
      <c r="AH75" s="298" t="s">
        <v>67</v>
      </c>
      <c r="AI75" s="208" t="str">
        <f t="shared" ref="AI75" si="81">AE75</f>
        <v>03-6457-9833</v>
      </c>
    </row>
    <row r="76" spans="1:35" ht="11.15" customHeight="1">
      <c r="A76" s="230"/>
      <c r="B76" s="289"/>
      <c r="C76" s="343"/>
      <c r="D76" s="344"/>
      <c r="E76" s="242"/>
      <c r="F76" s="243"/>
      <c r="G76" s="243"/>
      <c r="H76" s="243"/>
      <c r="I76" s="243"/>
      <c r="J76" s="243"/>
      <c r="K76" s="243"/>
      <c r="L76" s="243"/>
      <c r="M76" s="243"/>
      <c r="N76" s="244"/>
      <c r="O76" s="514"/>
      <c r="P76" s="515"/>
      <c r="Q76" s="516"/>
      <c r="R76" s="382"/>
      <c r="S76" s="386"/>
      <c r="T76" s="387"/>
      <c r="U76" s="387"/>
      <c r="V76" s="387"/>
      <c r="W76" s="388"/>
      <c r="X76" s="262"/>
      <c r="Y76" s="262"/>
      <c r="Z76" s="263"/>
      <c r="AA76" s="264"/>
      <c r="AB76" s="265"/>
      <c r="AC76" s="266"/>
      <c r="AD76" s="267"/>
      <c r="AE76" s="268"/>
      <c r="AF76" s="227"/>
      <c r="AG76" s="217"/>
      <c r="AH76" s="298"/>
      <c r="AI76" s="208"/>
    </row>
    <row r="77" spans="1:35" ht="11.15" customHeight="1">
      <c r="A77" s="228">
        <f t="shared" ref="A77" si="82">A71+1</f>
        <v>11</v>
      </c>
      <c r="B77" s="231">
        <f>B71+1</f>
        <v>46199</v>
      </c>
      <c r="C77" s="339" t="s">
        <v>115</v>
      </c>
      <c r="D77" s="340"/>
      <c r="E77" s="305" t="s">
        <v>122</v>
      </c>
      <c r="F77" s="306"/>
      <c r="G77" s="306"/>
      <c r="H77" s="306"/>
      <c r="I77" s="306"/>
      <c r="J77" s="306"/>
      <c r="K77" s="306"/>
      <c r="L77" s="306"/>
      <c r="M77" s="306"/>
      <c r="N77" s="307"/>
      <c r="O77" s="679" t="s">
        <v>375</v>
      </c>
      <c r="P77" s="680"/>
      <c r="Q77" s="681"/>
      <c r="R77" s="423" t="s">
        <v>62</v>
      </c>
      <c r="S77" s="252"/>
      <c r="T77" s="252"/>
      <c r="U77" s="252"/>
      <c r="V77" s="252"/>
      <c r="W77" s="253"/>
      <c r="X77" s="424"/>
      <c r="Y77" s="425"/>
      <c r="Z77" s="327" t="s">
        <v>17</v>
      </c>
      <c r="AA77" s="328"/>
      <c r="AB77" s="329"/>
      <c r="AC77" s="372">
        <v>0.27083333333333331</v>
      </c>
      <c r="AD77" s="373"/>
      <c r="AE77" s="334"/>
      <c r="AF77" s="226">
        <f t="shared" ref="AF77" si="83">B77</f>
        <v>46199</v>
      </c>
      <c r="AG77" s="217" t="str">
        <f t="shared" ref="AG77" si="84">Z77</f>
        <v>B:ホテル</v>
      </c>
      <c r="AH77" s="207"/>
      <c r="AI77" s="208">
        <f t="shared" ref="AI77" si="85">AE77</f>
        <v>0</v>
      </c>
    </row>
    <row r="78" spans="1:35" ht="11.15" customHeight="1">
      <c r="A78" s="229"/>
      <c r="B78" s="232"/>
      <c r="C78" s="341"/>
      <c r="D78" s="342"/>
      <c r="E78" s="308"/>
      <c r="F78" s="309"/>
      <c r="G78" s="309"/>
      <c r="H78" s="309"/>
      <c r="I78" s="309"/>
      <c r="J78" s="309"/>
      <c r="K78" s="309"/>
      <c r="L78" s="309"/>
      <c r="M78" s="309"/>
      <c r="N78" s="310"/>
      <c r="O78" s="682"/>
      <c r="P78" s="683"/>
      <c r="Q78" s="684"/>
      <c r="R78" s="254"/>
      <c r="S78" s="255"/>
      <c r="T78" s="255"/>
      <c r="U78" s="255"/>
      <c r="V78" s="255"/>
      <c r="W78" s="256"/>
      <c r="X78" s="426"/>
      <c r="Y78" s="426"/>
      <c r="Z78" s="320"/>
      <c r="AA78" s="321"/>
      <c r="AB78" s="322"/>
      <c r="AC78" s="325"/>
      <c r="AD78" s="324"/>
      <c r="AE78" s="326"/>
      <c r="AF78" s="227"/>
      <c r="AG78" s="217"/>
      <c r="AH78" s="207"/>
      <c r="AI78" s="208"/>
    </row>
    <row r="79" spans="1:35" ht="11.15" customHeight="1">
      <c r="A79" s="229"/>
      <c r="B79" s="232"/>
      <c r="C79" s="341"/>
      <c r="D79" s="342"/>
      <c r="E79" s="308"/>
      <c r="F79" s="309"/>
      <c r="G79" s="309"/>
      <c r="H79" s="309"/>
      <c r="I79" s="309"/>
      <c r="J79" s="309"/>
      <c r="K79" s="309"/>
      <c r="L79" s="309"/>
      <c r="M79" s="309"/>
      <c r="N79" s="310"/>
      <c r="O79" s="682"/>
      <c r="P79" s="683"/>
      <c r="Q79" s="684"/>
      <c r="R79" s="254"/>
      <c r="S79" s="255"/>
      <c r="T79" s="255"/>
      <c r="U79" s="255"/>
      <c r="V79" s="255"/>
      <c r="W79" s="256"/>
      <c r="X79" s="427"/>
      <c r="Y79" s="427"/>
      <c r="Z79" s="320" t="s">
        <v>43</v>
      </c>
      <c r="AA79" s="321"/>
      <c r="AB79" s="322"/>
      <c r="AC79" s="413" t="s">
        <v>36</v>
      </c>
      <c r="AD79" s="213"/>
      <c r="AE79" s="215"/>
      <c r="AF79" s="226"/>
      <c r="AG79" s="217" t="str">
        <f t="shared" ref="AG79" si="86">Z79</f>
        <v>L:X</v>
      </c>
      <c r="AH79" s="298"/>
      <c r="AI79" s="208">
        <f t="shared" ref="AI79" si="87">AE79</f>
        <v>0</v>
      </c>
    </row>
    <row r="80" spans="1:35" ht="11.15" customHeight="1">
      <c r="A80" s="229"/>
      <c r="B80" s="232"/>
      <c r="C80" s="341"/>
      <c r="D80" s="342"/>
      <c r="E80" s="429" t="s">
        <v>79</v>
      </c>
      <c r="F80" s="430"/>
      <c r="G80" s="430"/>
      <c r="H80" s="430"/>
      <c r="I80" s="430"/>
      <c r="J80" s="430"/>
      <c r="K80" s="430"/>
      <c r="L80" s="430"/>
      <c r="M80" s="430"/>
      <c r="N80" s="431"/>
      <c r="O80" s="682"/>
      <c r="P80" s="683"/>
      <c r="Q80" s="684"/>
      <c r="R80" s="257"/>
      <c r="S80" s="258"/>
      <c r="T80" s="258"/>
      <c r="U80" s="258"/>
      <c r="V80" s="258"/>
      <c r="W80" s="259"/>
      <c r="X80" s="427"/>
      <c r="Y80" s="427"/>
      <c r="Z80" s="320"/>
      <c r="AA80" s="321"/>
      <c r="AB80" s="322"/>
      <c r="AC80" s="214"/>
      <c r="AD80" s="213"/>
      <c r="AE80" s="215"/>
      <c r="AF80" s="227"/>
      <c r="AG80" s="217"/>
      <c r="AH80" s="298"/>
      <c r="AI80" s="208"/>
    </row>
    <row r="81" spans="1:35" ht="11.15" customHeight="1">
      <c r="A81" s="229"/>
      <c r="B81" s="288" t="str">
        <f>TEXT(B77,"(aaa)")</f>
        <v>(金)</v>
      </c>
      <c r="C81" s="341"/>
      <c r="D81" s="342"/>
      <c r="E81" s="429"/>
      <c r="F81" s="430"/>
      <c r="G81" s="430"/>
      <c r="H81" s="430"/>
      <c r="I81" s="430"/>
      <c r="J81" s="430"/>
      <c r="K81" s="430"/>
      <c r="L81" s="430"/>
      <c r="M81" s="430"/>
      <c r="N81" s="431"/>
      <c r="O81" s="682"/>
      <c r="P81" s="683"/>
      <c r="Q81" s="684"/>
      <c r="R81" s="385"/>
      <c r="S81" s="292"/>
      <c r="T81" s="293"/>
      <c r="U81" s="293"/>
      <c r="V81" s="293"/>
      <c r="W81" s="294"/>
      <c r="X81" s="427"/>
      <c r="Y81" s="427"/>
      <c r="Z81" s="320" t="s">
        <v>44</v>
      </c>
      <c r="AA81" s="321"/>
      <c r="AB81" s="322"/>
      <c r="AC81" s="413" t="s">
        <v>36</v>
      </c>
      <c r="AD81" s="213"/>
      <c r="AE81" s="215"/>
      <c r="AF81" s="217"/>
      <c r="AG81" s="217" t="str">
        <f t="shared" ref="AG81" si="88">Z81</f>
        <v>D:X</v>
      </c>
      <c r="AH81" s="298"/>
      <c r="AI81" s="208">
        <f t="shared" ref="AI81" si="89">AE81</f>
        <v>0</v>
      </c>
    </row>
    <row r="82" spans="1:35" ht="11.15" customHeight="1">
      <c r="A82" s="230"/>
      <c r="B82" s="289"/>
      <c r="C82" s="343"/>
      <c r="D82" s="344"/>
      <c r="E82" s="432"/>
      <c r="F82" s="433"/>
      <c r="G82" s="433"/>
      <c r="H82" s="433"/>
      <c r="I82" s="433"/>
      <c r="J82" s="433"/>
      <c r="K82" s="433"/>
      <c r="L82" s="433"/>
      <c r="M82" s="433"/>
      <c r="N82" s="434"/>
      <c r="O82" s="685"/>
      <c r="P82" s="686"/>
      <c r="Q82" s="687"/>
      <c r="R82" s="297"/>
      <c r="S82" s="295"/>
      <c r="T82" s="296"/>
      <c r="U82" s="296"/>
      <c r="V82" s="296"/>
      <c r="W82" s="297"/>
      <c r="X82" s="428"/>
      <c r="Y82" s="428"/>
      <c r="Z82" s="357"/>
      <c r="AA82" s="358"/>
      <c r="AB82" s="359"/>
      <c r="AC82" s="266"/>
      <c r="AD82" s="267"/>
      <c r="AE82" s="268"/>
      <c r="AF82" s="217"/>
      <c r="AG82" s="217"/>
      <c r="AH82" s="298"/>
      <c r="AI82" s="208"/>
    </row>
    <row r="83" spans="1:35" ht="15" customHeight="1">
      <c r="A83" s="11" t="s">
        <v>47</v>
      </c>
      <c r="B83" s="12"/>
      <c r="C83" s="6"/>
      <c r="D83" s="6"/>
      <c r="E83" s="13"/>
      <c r="F83" s="13"/>
      <c r="G83" s="13"/>
      <c r="H83" s="13"/>
      <c r="I83" s="13"/>
      <c r="J83" s="13"/>
      <c r="K83" s="13"/>
      <c r="L83" s="13"/>
      <c r="M83" s="13"/>
      <c r="N83" s="13"/>
      <c r="O83" s="2"/>
      <c r="P83" s="2"/>
      <c r="Q83" s="2"/>
      <c r="R83" s="14"/>
      <c r="S83" s="15"/>
      <c r="T83" s="15"/>
      <c r="U83" s="17"/>
      <c r="V83" s="15"/>
      <c r="W83" s="15"/>
      <c r="X83" s="17"/>
      <c r="Y83" s="129"/>
      <c r="Z83" s="130"/>
      <c r="AA83" s="130"/>
      <c r="AB83" s="130"/>
      <c r="AC83" s="131"/>
      <c r="AD83" s="131"/>
      <c r="AE83" s="18"/>
      <c r="AF83"/>
      <c r="AG83"/>
      <c r="AH83"/>
      <c r="AI83"/>
    </row>
    <row r="84" spans="1:35" ht="15" customHeight="1">
      <c r="A84" s="16" t="s">
        <v>34</v>
      </c>
      <c r="B84" s="12"/>
      <c r="C84" s="6"/>
      <c r="D84" s="6"/>
      <c r="E84" s="13"/>
      <c r="F84" s="13"/>
      <c r="G84" s="13"/>
      <c r="H84" s="13"/>
      <c r="I84" s="13"/>
      <c r="J84" s="13"/>
      <c r="K84" s="13"/>
      <c r="L84" s="13"/>
      <c r="M84" s="13"/>
      <c r="N84" s="13"/>
      <c r="O84" s="2"/>
      <c r="P84" s="2"/>
      <c r="Q84" s="2"/>
      <c r="R84" s="14"/>
      <c r="S84" s="15"/>
      <c r="T84" s="15"/>
      <c r="U84" s="132"/>
      <c r="V84" s="15"/>
      <c r="W84" s="15"/>
      <c r="X84" s="17"/>
      <c r="Y84" s="129"/>
      <c r="Z84" s="133"/>
      <c r="AA84" s="130"/>
      <c r="AB84" s="130"/>
      <c r="AC84" s="131"/>
      <c r="AD84" s="131"/>
      <c r="AE84" s="18"/>
      <c r="AF84"/>
      <c r="AG84"/>
      <c r="AH84"/>
      <c r="AI84"/>
    </row>
    <row r="85" spans="1:35" ht="15" customHeight="1">
      <c r="A85" s="16" t="s">
        <v>35</v>
      </c>
      <c r="B85" s="12"/>
      <c r="C85" s="6"/>
      <c r="D85" s="6"/>
      <c r="E85" s="13"/>
      <c r="F85" s="13"/>
      <c r="G85" s="13"/>
      <c r="H85" s="13"/>
      <c r="I85" s="13"/>
      <c r="J85" s="13"/>
      <c r="K85" s="13"/>
      <c r="L85" s="13"/>
      <c r="M85" s="13"/>
      <c r="N85" s="13"/>
      <c r="O85" s="2"/>
      <c r="P85" s="2"/>
      <c r="Q85" s="2"/>
      <c r="R85" s="14"/>
      <c r="S85" s="15"/>
      <c r="T85" s="15"/>
      <c r="U85" s="121"/>
      <c r="V85" s="19"/>
      <c r="W85" s="19"/>
      <c r="X85" s="17"/>
      <c r="Y85" s="19"/>
      <c r="Z85" s="19"/>
      <c r="AA85" s="19"/>
      <c r="AB85" s="19"/>
      <c r="AC85" s="19"/>
      <c r="AD85" s="19"/>
      <c r="AE85" s="18"/>
      <c r="AF85"/>
      <c r="AG85"/>
      <c r="AH85"/>
      <c r="AI85"/>
    </row>
    <row r="86" spans="1:35" ht="15" customHeight="1">
      <c r="A86" s="16" t="s">
        <v>46</v>
      </c>
      <c r="B86" s="20"/>
      <c r="C86" s="6"/>
      <c r="D86" s="6"/>
      <c r="E86" s="13"/>
      <c r="F86" s="13"/>
      <c r="G86" s="13"/>
      <c r="H86" s="13"/>
      <c r="I86" s="13"/>
      <c r="J86" s="13"/>
      <c r="K86" s="2"/>
      <c r="L86" s="21"/>
      <c r="M86" s="13"/>
      <c r="N86" s="13"/>
      <c r="O86" s="2"/>
      <c r="P86" s="2"/>
      <c r="Q86" s="2"/>
      <c r="R86" s="14"/>
      <c r="S86" s="15"/>
      <c r="T86" s="15"/>
      <c r="U86" s="17"/>
      <c r="V86" s="15"/>
      <c r="W86" s="19"/>
      <c r="X86" s="19"/>
      <c r="Y86" s="19"/>
      <c r="Z86" s="19"/>
      <c r="AA86" s="19"/>
      <c r="AB86" s="19"/>
      <c r="AC86" s="19"/>
      <c r="AD86" s="19"/>
      <c r="AE86" s="18"/>
      <c r="AF86"/>
      <c r="AG86"/>
      <c r="AH86"/>
      <c r="AI86"/>
    </row>
    <row r="87" spans="1:35" ht="15" customHeight="1">
      <c r="A87" s="22"/>
      <c r="B87" s="27" t="s">
        <v>133</v>
      </c>
      <c r="C87" s="8"/>
      <c r="D87" s="23"/>
      <c r="E87" s="23"/>
      <c r="F87" s="24"/>
      <c r="G87" s="111"/>
      <c r="H87" s="111"/>
      <c r="I87" s="111"/>
      <c r="J87" s="24" t="s">
        <v>135</v>
      </c>
      <c r="K87" s="2"/>
      <c r="L87" s="112"/>
      <c r="M87" s="113"/>
      <c r="N87" s="110"/>
      <c r="O87" s="2"/>
      <c r="P87" s="110"/>
      <c r="Q87" s="24" t="s">
        <v>134</v>
      </c>
      <c r="R87" s="15"/>
      <c r="S87" s="15"/>
      <c r="T87" s="15"/>
      <c r="U87" s="15"/>
      <c r="V87" s="26"/>
      <c r="W87" s="19"/>
      <c r="X87" s="19"/>
      <c r="Y87" s="19"/>
      <c r="Z87" s="19"/>
      <c r="AA87" s="27"/>
      <c r="AB87" s="14"/>
      <c r="AC87" s="15"/>
      <c r="AD87" s="15"/>
      <c r="AE87" s="107"/>
      <c r="AF87" s="15"/>
      <c r="AG87"/>
      <c r="AH87"/>
      <c r="AI87"/>
    </row>
    <row r="88" spans="1:35" ht="15" customHeight="1">
      <c r="A88" s="126"/>
      <c r="B88" s="109" t="s">
        <v>374</v>
      </c>
      <c r="C88" s="27"/>
      <c r="D88" s="6"/>
      <c r="E88" s="13"/>
      <c r="F88" s="13"/>
      <c r="G88" s="13"/>
      <c r="H88" s="21"/>
      <c r="I88" s="21"/>
      <c r="J88" s="128"/>
      <c r="K88" s="13"/>
      <c r="L88" s="13"/>
      <c r="M88" s="13"/>
      <c r="N88" s="13"/>
      <c r="O88" s="2"/>
      <c r="P88" s="27"/>
      <c r="Q88" s="27"/>
      <c r="R88" s="27"/>
      <c r="S88" s="14"/>
      <c r="T88" s="15"/>
      <c r="U88" s="120"/>
      <c r="V88" s="30"/>
      <c r="W88" s="120" t="s">
        <v>149</v>
      </c>
      <c r="X88" s="30"/>
      <c r="Z88" s="30"/>
      <c r="AA88" s="27"/>
      <c r="AB88" s="14"/>
      <c r="AC88" s="15"/>
      <c r="AD88" s="15"/>
      <c r="AE88" s="107"/>
      <c r="AF88" s="15"/>
      <c r="AG88"/>
      <c r="AH88"/>
      <c r="AI88"/>
    </row>
    <row r="89" spans="1:35" ht="15" customHeight="1">
      <c r="A89" s="127"/>
      <c r="B89" s="31"/>
      <c r="C89" s="19"/>
      <c r="D89" s="19"/>
      <c r="E89" s="19"/>
      <c r="F89" s="19"/>
      <c r="G89" s="19"/>
      <c r="H89" s="19"/>
      <c r="I89" s="19"/>
      <c r="J89" s="25"/>
      <c r="K89" s="25"/>
      <c r="L89" s="25"/>
      <c r="M89" s="25"/>
      <c r="N89" s="25"/>
      <c r="O89" s="28"/>
      <c r="P89" s="28"/>
      <c r="Q89" s="28"/>
      <c r="R89" s="29"/>
      <c r="S89" s="15"/>
      <c r="T89" s="15"/>
      <c r="U89" s="120"/>
      <c r="V89" s="19"/>
      <c r="W89" s="120" t="s">
        <v>150</v>
      </c>
      <c r="X89" s="19"/>
      <c r="Z89" s="19"/>
      <c r="AA89" s="19"/>
      <c r="AB89" s="19"/>
      <c r="AC89" s="19"/>
      <c r="AD89" s="19"/>
      <c r="AE89" s="32"/>
      <c r="AF89"/>
      <c r="AG89"/>
      <c r="AH89"/>
      <c r="AI89"/>
    </row>
    <row r="90" spans="1:35" ht="15" customHeight="1">
      <c r="A90" s="16" t="s">
        <v>380</v>
      </c>
      <c r="B90" s="31"/>
      <c r="C90" s="19"/>
      <c r="D90" s="19"/>
      <c r="E90" s="19"/>
      <c r="F90" s="19"/>
      <c r="G90" s="19"/>
      <c r="H90" s="19"/>
      <c r="I90" s="19"/>
      <c r="J90" s="25"/>
      <c r="K90" s="25"/>
      <c r="L90" s="25"/>
      <c r="M90" s="25"/>
      <c r="N90" s="25"/>
      <c r="O90" s="28"/>
      <c r="P90" s="28"/>
      <c r="Q90" s="28"/>
      <c r="R90" s="29"/>
      <c r="S90" s="15"/>
      <c r="T90" s="15"/>
      <c r="U90" s="17"/>
      <c r="V90" s="15"/>
      <c r="W90" s="116"/>
      <c r="X90" s="19"/>
      <c r="Y90" s="19"/>
      <c r="Z90" s="19"/>
      <c r="AA90" s="19"/>
      <c r="AB90" s="19"/>
      <c r="AC90" s="19"/>
      <c r="AD90" s="19"/>
      <c r="AE90" s="32"/>
      <c r="AF90"/>
      <c r="AG90"/>
      <c r="AH90"/>
      <c r="AI90"/>
    </row>
    <row r="91" spans="1:35" ht="15" customHeight="1">
      <c r="A91" s="138" t="s">
        <v>355</v>
      </c>
      <c r="B91" s="33"/>
      <c r="C91" s="7"/>
      <c r="D91" s="7"/>
      <c r="E91" s="7"/>
      <c r="F91" s="7"/>
      <c r="G91" s="7"/>
      <c r="H91" s="7"/>
      <c r="I91" s="7"/>
      <c r="J91" s="10"/>
      <c r="K91" s="10"/>
      <c r="L91" s="10"/>
      <c r="M91" s="10"/>
      <c r="N91" s="10"/>
      <c r="O91" s="9"/>
      <c r="P91" s="9"/>
      <c r="Q91" s="9"/>
      <c r="R91" s="34"/>
      <c r="S91" s="35"/>
      <c r="T91" s="35"/>
      <c r="U91" s="36"/>
      <c r="V91" s="35"/>
      <c r="W91" s="7"/>
      <c r="X91" s="7"/>
      <c r="Y91" s="7"/>
      <c r="Z91" s="7"/>
      <c r="AA91" s="7"/>
      <c r="AB91" s="7"/>
      <c r="AC91" s="7"/>
      <c r="AD91" s="7"/>
      <c r="AE91" s="1" t="s">
        <v>20</v>
      </c>
      <c r="AF91"/>
      <c r="AG91"/>
      <c r="AH91"/>
      <c r="AI91"/>
    </row>
  </sheetData>
  <mergeCells count="397">
    <mergeCell ref="AH81:AH82"/>
    <mergeCell ref="AI81:AI82"/>
    <mergeCell ref="E71:N76"/>
    <mergeCell ref="E80:N82"/>
    <mergeCell ref="B81:B82"/>
    <mergeCell ref="R81:R82"/>
    <mergeCell ref="S81:W82"/>
    <mergeCell ref="Z81:AB82"/>
    <mergeCell ref="AC81:AD82"/>
    <mergeCell ref="AH77:AH78"/>
    <mergeCell ref="AI77:AI78"/>
    <mergeCell ref="Z79:AB80"/>
    <mergeCell ref="AC79:AD80"/>
    <mergeCell ref="AE79:AE80"/>
    <mergeCell ref="AF79:AF80"/>
    <mergeCell ref="AG79:AG80"/>
    <mergeCell ref="AH79:AH80"/>
    <mergeCell ref="AI79:AI80"/>
    <mergeCell ref="X77:Y82"/>
    <mergeCell ref="Z77:AB78"/>
    <mergeCell ref="AC77:AD78"/>
    <mergeCell ref="AE77:AE78"/>
    <mergeCell ref="AF77:AF78"/>
    <mergeCell ref="AG77:AG78"/>
    <mergeCell ref="AE81:AE82"/>
    <mergeCell ref="AF81:AF82"/>
    <mergeCell ref="AG81:AG82"/>
    <mergeCell ref="A77:A82"/>
    <mergeCell ref="B77:B80"/>
    <mergeCell ref="C77:D82"/>
    <mergeCell ref="E77:N79"/>
    <mergeCell ref="O77:Q82"/>
    <mergeCell ref="R77:W80"/>
    <mergeCell ref="AG75:AG76"/>
    <mergeCell ref="AH75:AH76"/>
    <mergeCell ref="AI75:AI76"/>
    <mergeCell ref="AH73:AH74"/>
    <mergeCell ref="AI73:AI74"/>
    <mergeCell ref="B75:B76"/>
    <mergeCell ref="R75:R76"/>
    <mergeCell ref="S75:W76"/>
    <mergeCell ref="Z75:AB76"/>
    <mergeCell ref="AC75:AD76"/>
    <mergeCell ref="AE75:AE76"/>
    <mergeCell ref="AF75:AF76"/>
    <mergeCell ref="AE71:AE72"/>
    <mergeCell ref="AF71:AF72"/>
    <mergeCell ref="AG71:AG72"/>
    <mergeCell ref="AH71:AH72"/>
    <mergeCell ref="AI71:AI72"/>
    <mergeCell ref="Z73:AB74"/>
    <mergeCell ref="AC73:AD74"/>
    <mergeCell ref="AE73:AE74"/>
    <mergeCell ref="AF73:AF74"/>
    <mergeCell ref="AG73:AG74"/>
    <mergeCell ref="AI69:AI70"/>
    <mergeCell ref="A71:A76"/>
    <mergeCell ref="B71:B74"/>
    <mergeCell ref="C71:D76"/>
    <mergeCell ref="O71:Q76"/>
    <mergeCell ref="R71:W74"/>
    <mergeCell ref="X71:Y76"/>
    <mergeCell ref="Z71:AB72"/>
    <mergeCell ref="AC71:AD72"/>
    <mergeCell ref="AI67:AI68"/>
    <mergeCell ref="B69:B70"/>
    <mergeCell ref="R69:R70"/>
    <mergeCell ref="S69:W70"/>
    <mergeCell ref="Z69:AB70"/>
    <mergeCell ref="AC69:AD70"/>
    <mergeCell ref="AE69:AE70"/>
    <mergeCell ref="AF69:AF70"/>
    <mergeCell ref="AG69:AG70"/>
    <mergeCell ref="AH69:AH70"/>
    <mergeCell ref="Z67:AB68"/>
    <mergeCell ref="AC67:AD68"/>
    <mergeCell ref="AE67:AE68"/>
    <mergeCell ref="AF67:AF68"/>
    <mergeCell ref="AG67:AG68"/>
    <mergeCell ref="AH67:AH68"/>
    <mergeCell ref="AC65:AD66"/>
    <mergeCell ref="AE65:AE66"/>
    <mergeCell ref="AF65:AF66"/>
    <mergeCell ref="AG65:AG66"/>
    <mergeCell ref="AH65:AH66"/>
    <mergeCell ref="AI65:AI66"/>
    <mergeCell ref="AH63:AH64"/>
    <mergeCell ref="AI63:AI64"/>
    <mergeCell ref="A65:A70"/>
    <mergeCell ref="B65:B68"/>
    <mergeCell ref="C65:D70"/>
    <mergeCell ref="E65:N70"/>
    <mergeCell ref="O65:Q70"/>
    <mergeCell ref="R65:W68"/>
    <mergeCell ref="X65:Y70"/>
    <mergeCell ref="Z65:AB66"/>
    <mergeCell ref="AH61:AH62"/>
    <mergeCell ref="AI61:AI62"/>
    <mergeCell ref="B63:B64"/>
    <mergeCell ref="R63:R64"/>
    <mergeCell ref="S63:W64"/>
    <mergeCell ref="Z63:AB64"/>
    <mergeCell ref="AC63:AD64"/>
    <mergeCell ref="AE63:AE64"/>
    <mergeCell ref="AF63:AF64"/>
    <mergeCell ref="AG63:AG64"/>
    <mergeCell ref="AE59:AE60"/>
    <mergeCell ref="AF59:AF60"/>
    <mergeCell ref="AG59:AG60"/>
    <mergeCell ref="AH59:AH60"/>
    <mergeCell ref="AI59:AI60"/>
    <mergeCell ref="Z61:AB62"/>
    <mergeCell ref="AC61:AD62"/>
    <mergeCell ref="AE61:AE62"/>
    <mergeCell ref="AF61:AF62"/>
    <mergeCell ref="AG61:AG62"/>
    <mergeCell ref="AI57:AI58"/>
    <mergeCell ref="A59:A64"/>
    <mergeCell ref="B59:B62"/>
    <mergeCell ref="C59:D64"/>
    <mergeCell ref="E59:N64"/>
    <mergeCell ref="O59:Q64"/>
    <mergeCell ref="R59:W62"/>
    <mergeCell ref="X59:Y64"/>
    <mergeCell ref="Z59:AB60"/>
    <mergeCell ref="AC59:AD60"/>
    <mergeCell ref="AI55:AI56"/>
    <mergeCell ref="B57:B58"/>
    <mergeCell ref="R57:R58"/>
    <mergeCell ref="S57:W58"/>
    <mergeCell ref="Z57:AB58"/>
    <mergeCell ref="AC57:AD58"/>
    <mergeCell ref="AE57:AE58"/>
    <mergeCell ref="AF57:AF58"/>
    <mergeCell ref="AG57:AG58"/>
    <mergeCell ref="AH57:AH58"/>
    <mergeCell ref="Z55:AB56"/>
    <mergeCell ref="AC55:AD56"/>
    <mergeCell ref="AE55:AE56"/>
    <mergeCell ref="AF55:AF56"/>
    <mergeCell ref="AG55:AG56"/>
    <mergeCell ref="AH55:AH56"/>
    <mergeCell ref="AC53:AD54"/>
    <mergeCell ref="AE53:AE54"/>
    <mergeCell ref="AF53:AF54"/>
    <mergeCell ref="AG53:AG54"/>
    <mergeCell ref="AH53:AH54"/>
    <mergeCell ref="AI53:AI54"/>
    <mergeCell ref="AH51:AH52"/>
    <mergeCell ref="AI51:AI52"/>
    <mergeCell ref="A53:A58"/>
    <mergeCell ref="B53:B56"/>
    <mergeCell ref="C53:D58"/>
    <mergeCell ref="E53:N58"/>
    <mergeCell ref="O53:Q58"/>
    <mergeCell ref="R53:W56"/>
    <mergeCell ref="X53:Y58"/>
    <mergeCell ref="Z53:AB54"/>
    <mergeCell ref="AH49:AH50"/>
    <mergeCell ref="AI49:AI50"/>
    <mergeCell ref="B51:B52"/>
    <mergeCell ref="R51:R52"/>
    <mergeCell ref="S51:W52"/>
    <mergeCell ref="Z51:AB52"/>
    <mergeCell ref="AC51:AD52"/>
    <mergeCell ref="AE51:AE52"/>
    <mergeCell ref="AF51:AF52"/>
    <mergeCell ref="AG51:AG52"/>
    <mergeCell ref="AE47:AE48"/>
    <mergeCell ref="AF47:AF48"/>
    <mergeCell ref="AG47:AG48"/>
    <mergeCell ref="AH47:AH48"/>
    <mergeCell ref="AI47:AI48"/>
    <mergeCell ref="Z49:AB50"/>
    <mergeCell ref="AC49:AD50"/>
    <mergeCell ref="AE49:AE50"/>
    <mergeCell ref="AF49:AF50"/>
    <mergeCell ref="AG49:AG50"/>
    <mergeCell ref="AI45:AI46"/>
    <mergeCell ref="A47:A52"/>
    <mergeCell ref="B47:B50"/>
    <mergeCell ref="C47:D52"/>
    <mergeCell ref="E47:N52"/>
    <mergeCell ref="O47:Q52"/>
    <mergeCell ref="R47:W50"/>
    <mergeCell ref="X47:Y52"/>
    <mergeCell ref="Z47:AB48"/>
    <mergeCell ref="AC47:AD48"/>
    <mergeCell ref="AI43:AI44"/>
    <mergeCell ref="B45:B46"/>
    <mergeCell ref="R45:R46"/>
    <mergeCell ref="S45:W46"/>
    <mergeCell ref="Z45:AB46"/>
    <mergeCell ref="AC45:AD46"/>
    <mergeCell ref="AE45:AE46"/>
    <mergeCell ref="AF45:AF46"/>
    <mergeCell ref="AG45:AG46"/>
    <mergeCell ref="AH45:AH46"/>
    <mergeCell ref="Z43:AB44"/>
    <mergeCell ref="AC43:AD44"/>
    <mergeCell ref="AE43:AE44"/>
    <mergeCell ref="AF43:AF44"/>
    <mergeCell ref="AG43:AG44"/>
    <mergeCell ref="AH43:AH44"/>
    <mergeCell ref="AC41:AD42"/>
    <mergeCell ref="AE41:AE42"/>
    <mergeCell ref="AF41:AF42"/>
    <mergeCell ref="AG41:AG42"/>
    <mergeCell ref="AH41:AH42"/>
    <mergeCell ref="AI41:AI42"/>
    <mergeCell ref="AH39:AH40"/>
    <mergeCell ref="AI39:AI40"/>
    <mergeCell ref="A41:A46"/>
    <mergeCell ref="B41:B44"/>
    <mergeCell ref="C41:D46"/>
    <mergeCell ref="E41:N46"/>
    <mergeCell ref="O41:Q46"/>
    <mergeCell ref="R41:W44"/>
    <mergeCell ref="X41:Y46"/>
    <mergeCell ref="Z41:AB42"/>
    <mergeCell ref="AH37:AH38"/>
    <mergeCell ref="AI37:AI38"/>
    <mergeCell ref="B39:B40"/>
    <mergeCell ref="R39:R40"/>
    <mergeCell ref="S39:W40"/>
    <mergeCell ref="Z39:AB40"/>
    <mergeCell ref="AC39:AD40"/>
    <mergeCell ref="AE39:AE40"/>
    <mergeCell ref="AF39:AF40"/>
    <mergeCell ref="AG39:AG40"/>
    <mergeCell ref="AE35:AE36"/>
    <mergeCell ref="AF35:AF36"/>
    <mergeCell ref="AG35:AG36"/>
    <mergeCell ref="AH35:AH36"/>
    <mergeCell ref="AI35:AI36"/>
    <mergeCell ref="Z37:AB38"/>
    <mergeCell ref="AC37:AD38"/>
    <mergeCell ref="AE37:AE38"/>
    <mergeCell ref="AF37:AF38"/>
    <mergeCell ref="AG37:AG38"/>
    <mergeCell ref="AI33:AI34"/>
    <mergeCell ref="A35:A40"/>
    <mergeCell ref="B35:B38"/>
    <mergeCell ref="C35:D40"/>
    <mergeCell ref="E35:N40"/>
    <mergeCell ref="O35:Q40"/>
    <mergeCell ref="R35:W38"/>
    <mergeCell ref="X35:Y40"/>
    <mergeCell ref="Z35:AB36"/>
    <mergeCell ref="AC35:AD36"/>
    <mergeCell ref="AI31:AI32"/>
    <mergeCell ref="B33:B34"/>
    <mergeCell ref="R33:R34"/>
    <mergeCell ref="S33:W34"/>
    <mergeCell ref="Z33:AB34"/>
    <mergeCell ref="AC33:AD34"/>
    <mergeCell ref="AE33:AE34"/>
    <mergeCell ref="AF33:AF34"/>
    <mergeCell ref="AG33:AG34"/>
    <mergeCell ref="AH33:AH34"/>
    <mergeCell ref="Z31:AB32"/>
    <mergeCell ref="AC31:AD32"/>
    <mergeCell ref="AE31:AE32"/>
    <mergeCell ref="AF31:AF32"/>
    <mergeCell ref="AG31:AG32"/>
    <mergeCell ref="AH31:AH32"/>
    <mergeCell ref="AC29:AD30"/>
    <mergeCell ref="AE29:AE30"/>
    <mergeCell ref="AF29:AF30"/>
    <mergeCell ref="AG29:AG30"/>
    <mergeCell ref="AH29:AH30"/>
    <mergeCell ref="AI29:AI30"/>
    <mergeCell ref="AH27:AH28"/>
    <mergeCell ref="AI27:AI28"/>
    <mergeCell ref="A29:A34"/>
    <mergeCell ref="B29:B32"/>
    <mergeCell ref="C29:D34"/>
    <mergeCell ref="E29:N34"/>
    <mergeCell ref="O29:Q34"/>
    <mergeCell ref="R29:W32"/>
    <mergeCell ref="X29:Y34"/>
    <mergeCell ref="Z29:AB30"/>
    <mergeCell ref="B27:B28"/>
    <mergeCell ref="R27:R28"/>
    <mergeCell ref="S27:W28"/>
    <mergeCell ref="Z27:AB28"/>
    <mergeCell ref="AC27:AD28"/>
    <mergeCell ref="AE27:AE28"/>
    <mergeCell ref="AH23:AH24"/>
    <mergeCell ref="AI23:AI24"/>
    <mergeCell ref="Z25:AB26"/>
    <mergeCell ref="AC25:AD26"/>
    <mergeCell ref="AE25:AE26"/>
    <mergeCell ref="AF25:AF26"/>
    <mergeCell ref="AG25:AG26"/>
    <mergeCell ref="AH25:AH26"/>
    <mergeCell ref="AI25:AI26"/>
    <mergeCell ref="X23:Y28"/>
    <mergeCell ref="Z23:AB24"/>
    <mergeCell ref="AC23:AD24"/>
    <mergeCell ref="AE23:AE24"/>
    <mergeCell ref="AF23:AF24"/>
    <mergeCell ref="AG23:AG24"/>
    <mergeCell ref="AF27:AF28"/>
    <mergeCell ref="AG27:AG28"/>
    <mergeCell ref="AF21:AF22"/>
    <mergeCell ref="AG21:AG22"/>
    <mergeCell ref="AH21:AH22"/>
    <mergeCell ref="AI21:AI22"/>
    <mergeCell ref="A23:A28"/>
    <mergeCell ref="B23:B26"/>
    <mergeCell ref="C23:D28"/>
    <mergeCell ref="E23:N28"/>
    <mergeCell ref="O23:Q28"/>
    <mergeCell ref="R23:W26"/>
    <mergeCell ref="B21:B22"/>
    <mergeCell ref="R21:R22"/>
    <mergeCell ref="S21:W22"/>
    <mergeCell ref="Z21:AB22"/>
    <mergeCell ref="AC21:AD22"/>
    <mergeCell ref="AE21:AE22"/>
    <mergeCell ref="AI17:AI18"/>
    <mergeCell ref="Z19:AB20"/>
    <mergeCell ref="AC19:AD20"/>
    <mergeCell ref="AE19:AE20"/>
    <mergeCell ref="AF19:AF20"/>
    <mergeCell ref="AG19:AG20"/>
    <mergeCell ref="AH19:AH20"/>
    <mergeCell ref="AI19:AI20"/>
    <mergeCell ref="Z17:AB18"/>
    <mergeCell ref="AC17:AD18"/>
    <mergeCell ref="AE17:AE18"/>
    <mergeCell ref="AF17:AF18"/>
    <mergeCell ref="AG17:AG18"/>
    <mergeCell ref="AH17:AH18"/>
    <mergeCell ref="AG15:AG16"/>
    <mergeCell ref="AH15:AH16"/>
    <mergeCell ref="AI15:AI16"/>
    <mergeCell ref="A17:A22"/>
    <mergeCell ref="B17:B20"/>
    <mergeCell ref="C17:D22"/>
    <mergeCell ref="E17:N22"/>
    <mergeCell ref="O17:Q22"/>
    <mergeCell ref="R17:W20"/>
    <mergeCell ref="X17:Y22"/>
    <mergeCell ref="AH11:AH12"/>
    <mergeCell ref="AI11:AI12"/>
    <mergeCell ref="Z13:AB14"/>
    <mergeCell ref="AC13:AD14"/>
    <mergeCell ref="AE13:AE14"/>
    <mergeCell ref="AF13:AF14"/>
    <mergeCell ref="AG13:AG14"/>
    <mergeCell ref="AH13:AH14"/>
    <mergeCell ref="AI13:AI14"/>
    <mergeCell ref="X11:Y16"/>
    <mergeCell ref="Z11:AB12"/>
    <mergeCell ref="AC11:AD12"/>
    <mergeCell ref="AE11:AE12"/>
    <mergeCell ref="AF11:AF12"/>
    <mergeCell ref="AG11:AG12"/>
    <mergeCell ref="Z15:AB16"/>
    <mergeCell ref="AC15:AD16"/>
    <mergeCell ref="AE15:AE16"/>
    <mergeCell ref="AF15:AF16"/>
    <mergeCell ref="A11:A16"/>
    <mergeCell ref="B11:B14"/>
    <mergeCell ref="C11:D16"/>
    <mergeCell ref="E11:N16"/>
    <mergeCell ref="O11:Q16"/>
    <mergeCell ref="R11:W14"/>
    <mergeCell ref="B15:B16"/>
    <mergeCell ref="R15:R16"/>
    <mergeCell ref="S15:W16"/>
    <mergeCell ref="AG8:AG9"/>
    <mergeCell ref="AH8:AH9"/>
    <mergeCell ref="A10:B10"/>
    <mergeCell ref="C10:D10"/>
    <mergeCell ref="E10:N10"/>
    <mergeCell ref="O10:Q10"/>
    <mergeCell ref="R10:Y10"/>
    <mergeCell ref="Z10:AE10"/>
    <mergeCell ref="Z2:AE6"/>
    <mergeCell ref="G5:N9"/>
    <mergeCell ref="R6:R9"/>
    <mergeCell ref="S6:Y9"/>
    <mergeCell ref="Z7:AE9"/>
    <mergeCell ref="AF8:AF9"/>
    <mergeCell ref="A1:F1"/>
    <mergeCell ref="G1:N1"/>
    <mergeCell ref="O1:Q1"/>
    <mergeCell ref="R1:Y1"/>
    <mergeCell ref="Z1:AE1"/>
    <mergeCell ref="A2:F9"/>
    <mergeCell ref="G2:N4"/>
    <mergeCell ref="O2:Q9"/>
    <mergeCell ref="R2:R5"/>
    <mergeCell ref="S2:Y5"/>
  </mergeCells>
  <phoneticPr fontId="3"/>
  <pageMargins left="0.19685039370078741" right="0" top="0.19685039370078741" bottom="0" header="0" footer="0"/>
  <pageSetup paperSize="9" scale="67" orientation="landscape" r:id="rId1"/>
  <headerFooter>
    <oddFooter>&amp;R&amp;D&amp;T</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AF079-679C-40AE-90FB-263BC1F6F64C}">
  <sheetPr>
    <pageSetUpPr fitToPage="1"/>
  </sheetPr>
  <dimension ref="A1:AE85"/>
  <sheetViews>
    <sheetView topLeftCell="A66" zoomScale="58" zoomScaleNormal="58" workbookViewId="0">
      <selection sqref="A1:AE85"/>
    </sheetView>
  </sheetViews>
  <sheetFormatPr defaultRowHeight="18"/>
  <cols>
    <col min="1" max="1" width="3.4140625" customWidth="1"/>
    <col min="2" max="2" width="8.4140625" customWidth="1"/>
    <col min="3" max="3" width="6.4140625" customWidth="1"/>
    <col min="4" max="4" width="2.4140625" customWidth="1"/>
    <col min="5" max="6" width="6.4140625" customWidth="1"/>
    <col min="7" max="17" width="5.4140625" customWidth="1"/>
    <col min="18" max="18" width="6.4140625" customWidth="1"/>
    <col min="19" max="23" width="5.4140625" customWidth="1"/>
    <col min="24" max="25" width="6.4140625" customWidth="1"/>
    <col min="26" max="28" width="7.4140625" customWidth="1"/>
    <col min="29" max="30" width="3.4140625" customWidth="1"/>
    <col min="31" max="31" width="21.4140625" customWidth="1"/>
  </cols>
  <sheetData>
    <row r="1" spans="1:31" ht="18" customHeight="1">
      <c r="A1" s="139" t="s">
        <v>0</v>
      </c>
      <c r="B1" s="140"/>
      <c r="C1" s="140"/>
      <c r="D1" s="140"/>
      <c r="E1" s="140"/>
      <c r="F1" s="141"/>
      <c r="G1" s="142" t="s">
        <v>1</v>
      </c>
      <c r="H1" s="140"/>
      <c r="I1" s="140"/>
      <c r="J1" s="140"/>
      <c r="K1" s="140"/>
      <c r="L1" s="140"/>
      <c r="M1" s="140"/>
      <c r="N1" s="140"/>
      <c r="O1" s="139" t="s">
        <v>2</v>
      </c>
      <c r="P1" s="140"/>
      <c r="Q1" s="141"/>
      <c r="R1" s="143" t="s">
        <v>3</v>
      </c>
      <c r="S1" s="143"/>
      <c r="T1" s="143"/>
      <c r="U1" s="143"/>
      <c r="V1" s="143"/>
      <c r="W1" s="143"/>
      <c r="X1" s="143"/>
      <c r="Y1" s="143"/>
      <c r="Z1" s="143" t="s">
        <v>4</v>
      </c>
      <c r="AA1" s="143"/>
      <c r="AB1" s="143"/>
      <c r="AC1" s="143"/>
      <c r="AD1" s="143"/>
      <c r="AE1" s="143"/>
    </row>
    <row r="2" spans="1:31" ht="8.15" customHeight="1">
      <c r="A2" s="144" t="s">
        <v>154</v>
      </c>
      <c r="B2" s="145"/>
      <c r="C2" s="145"/>
      <c r="D2" s="145"/>
      <c r="E2" s="145"/>
      <c r="F2" s="146"/>
      <c r="G2" s="147" t="s">
        <v>5</v>
      </c>
      <c r="H2" s="148"/>
      <c r="I2" s="148"/>
      <c r="J2" s="148"/>
      <c r="K2" s="148"/>
      <c r="L2" s="148"/>
      <c r="M2" s="148"/>
      <c r="N2" s="149"/>
      <c r="O2" s="153" t="s">
        <v>168</v>
      </c>
      <c r="P2" s="154"/>
      <c r="Q2" s="155"/>
      <c r="R2" s="162" t="s">
        <v>6</v>
      </c>
      <c r="S2" s="165" t="s">
        <v>157</v>
      </c>
      <c r="T2" s="166"/>
      <c r="U2" s="166"/>
      <c r="V2" s="166"/>
      <c r="W2" s="166"/>
      <c r="X2" s="166"/>
      <c r="Y2" s="167"/>
      <c r="Z2" s="184" t="s">
        <v>162</v>
      </c>
      <c r="AA2" s="185"/>
      <c r="AB2" s="185"/>
      <c r="AC2" s="185"/>
      <c r="AD2" s="185"/>
      <c r="AE2" s="186"/>
    </row>
    <row r="3" spans="1:31" ht="8.15" customHeight="1">
      <c r="A3" s="144"/>
      <c r="B3" s="145"/>
      <c r="C3" s="145"/>
      <c r="D3" s="145"/>
      <c r="E3" s="145"/>
      <c r="F3" s="146"/>
      <c r="G3" s="150"/>
      <c r="H3" s="151"/>
      <c r="I3" s="151"/>
      <c r="J3" s="151"/>
      <c r="K3" s="151"/>
      <c r="L3" s="151"/>
      <c r="M3" s="151"/>
      <c r="N3" s="152"/>
      <c r="O3" s="156"/>
      <c r="P3" s="157"/>
      <c r="Q3" s="158"/>
      <c r="R3" s="163"/>
      <c r="S3" s="168"/>
      <c r="T3" s="168"/>
      <c r="U3" s="168"/>
      <c r="V3" s="168"/>
      <c r="W3" s="168"/>
      <c r="X3" s="168"/>
      <c r="Y3" s="169"/>
      <c r="Z3" s="187"/>
      <c r="AA3" s="188"/>
      <c r="AB3" s="188"/>
      <c r="AC3" s="188"/>
      <c r="AD3" s="188"/>
      <c r="AE3" s="189"/>
    </row>
    <row r="4" spans="1:31" ht="8.15" customHeight="1">
      <c r="A4" s="144"/>
      <c r="B4" s="145"/>
      <c r="C4" s="145"/>
      <c r="D4" s="145"/>
      <c r="E4" s="145"/>
      <c r="F4" s="146"/>
      <c r="G4" s="150"/>
      <c r="H4" s="151"/>
      <c r="I4" s="151"/>
      <c r="J4" s="151"/>
      <c r="K4" s="151"/>
      <c r="L4" s="151"/>
      <c r="M4" s="151"/>
      <c r="N4" s="152"/>
      <c r="O4" s="156"/>
      <c r="P4" s="157"/>
      <c r="Q4" s="158"/>
      <c r="R4" s="163"/>
      <c r="S4" s="168"/>
      <c r="T4" s="168"/>
      <c r="U4" s="168"/>
      <c r="V4" s="168"/>
      <c r="W4" s="168"/>
      <c r="X4" s="168"/>
      <c r="Y4" s="169"/>
      <c r="Z4" s="187"/>
      <c r="AA4" s="188"/>
      <c r="AB4" s="188"/>
      <c r="AC4" s="188"/>
      <c r="AD4" s="188"/>
      <c r="AE4" s="189"/>
    </row>
    <row r="5" spans="1:31" ht="8.15" customHeight="1">
      <c r="A5" s="144"/>
      <c r="B5" s="145"/>
      <c r="C5" s="145"/>
      <c r="D5" s="145"/>
      <c r="E5" s="145"/>
      <c r="F5" s="146"/>
      <c r="G5" s="193" t="s">
        <v>7</v>
      </c>
      <c r="H5" s="194"/>
      <c r="I5" s="194"/>
      <c r="J5" s="194"/>
      <c r="K5" s="194"/>
      <c r="L5" s="194"/>
      <c r="M5" s="194"/>
      <c r="N5" s="195"/>
      <c r="O5" s="156"/>
      <c r="P5" s="157"/>
      <c r="Q5" s="158"/>
      <c r="R5" s="164"/>
      <c r="S5" s="170"/>
      <c r="T5" s="170"/>
      <c r="U5" s="170"/>
      <c r="V5" s="170"/>
      <c r="W5" s="170"/>
      <c r="X5" s="170"/>
      <c r="Y5" s="171"/>
      <c r="Z5" s="187"/>
      <c r="AA5" s="188"/>
      <c r="AB5" s="188"/>
      <c r="AC5" s="188"/>
      <c r="AD5" s="188"/>
      <c r="AE5" s="189"/>
    </row>
    <row r="6" spans="1:31" ht="8.15" customHeight="1">
      <c r="A6" s="144"/>
      <c r="B6" s="145"/>
      <c r="C6" s="145"/>
      <c r="D6" s="145"/>
      <c r="E6" s="145"/>
      <c r="F6" s="146"/>
      <c r="G6" s="193"/>
      <c r="H6" s="194"/>
      <c r="I6" s="194"/>
      <c r="J6" s="194"/>
      <c r="K6" s="194"/>
      <c r="L6" s="194"/>
      <c r="M6" s="194"/>
      <c r="N6" s="195"/>
      <c r="O6" s="156"/>
      <c r="P6" s="157"/>
      <c r="Q6" s="158"/>
      <c r="R6" s="162" t="s">
        <v>8</v>
      </c>
      <c r="S6" s="165" t="s">
        <v>158</v>
      </c>
      <c r="T6" s="166"/>
      <c r="U6" s="166"/>
      <c r="V6" s="166"/>
      <c r="W6" s="166"/>
      <c r="X6" s="166"/>
      <c r="Y6" s="167"/>
      <c r="Z6" s="190"/>
      <c r="AA6" s="191"/>
      <c r="AB6" s="191"/>
      <c r="AC6" s="191"/>
      <c r="AD6" s="191"/>
      <c r="AE6" s="192"/>
    </row>
    <row r="7" spans="1:31" ht="8.15" customHeight="1">
      <c r="A7" s="144"/>
      <c r="B7" s="145"/>
      <c r="C7" s="145"/>
      <c r="D7" s="145"/>
      <c r="E7" s="145"/>
      <c r="F7" s="146"/>
      <c r="G7" s="193"/>
      <c r="H7" s="194"/>
      <c r="I7" s="194"/>
      <c r="J7" s="194"/>
      <c r="K7" s="194"/>
      <c r="L7" s="194"/>
      <c r="M7" s="194"/>
      <c r="N7" s="195"/>
      <c r="O7" s="156"/>
      <c r="P7" s="157"/>
      <c r="Q7" s="158"/>
      <c r="R7" s="163"/>
      <c r="S7" s="168"/>
      <c r="T7" s="168"/>
      <c r="U7" s="168"/>
      <c r="V7" s="168"/>
      <c r="W7" s="168"/>
      <c r="X7" s="168"/>
      <c r="Y7" s="169"/>
      <c r="Z7" s="199" t="s">
        <v>163</v>
      </c>
      <c r="AA7" s="200"/>
      <c r="AB7" s="200"/>
      <c r="AC7" s="200"/>
      <c r="AD7" s="200"/>
      <c r="AE7" s="201"/>
    </row>
    <row r="8" spans="1:31" ht="8.15" customHeight="1">
      <c r="A8" s="144"/>
      <c r="B8" s="145"/>
      <c r="C8" s="145"/>
      <c r="D8" s="145"/>
      <c r="E8" s="145"/>
      <c r="F8" s="146"/>
      <c r="G8" s="193"/>
      <c r="H8" s="194"/>
      <c r="I8" s="194"/>
      <c r="J8" s="194"/>
      <c r="K8" s="194"/>
      <c r="L8" s="194"/>
      <c r="M8" s="194"/>
      <c r="N8" s="195"/>
      <c r="O8" s="156"/>
      <c r="P8" s="157"/>
      <c r="Q8" s="158"/>
      <c r="R8" s="163"/>
      <c r="S8" s="168"/>
      <c r="T8" s="168"/>
      <c r="U8" s="168"/>
      <c r="V8" s="168"/>
      <c r="W8" s="168"/>
      <c r="X8" s="168"/>
      <c r="Y8" s="169"/>
      <c r="Z8" s="187"/>
      <c r="AA8" s="188"/>
      <c r="AB8" s="188"/>
      <c r="AC8" s="188"/>
      <c r="AD8" s="188"/>
      <c r="AE8" s="189"/>
    </row>
    <row r="9" spans="1:31" ht="8.15" customHeight="1">
      <c r="A9" s="144"/>
      <c r="B9" s="145"/>
      <c r="C9" s="145"/>
      <c r="D9" s="145"/>
      <c r="E9" s="145"/>
      <c r="F9" s="146"/>
      <c r="G9" s="196"/>
      <c r="H9" s="197"/>
      <c r="I9" s="197"/>
      <c r="J9" s="197"/>
      <c r="K9" s="197"/>
      <c r="L9" s="197"/>
      <c r="M9" s="197"/>
      <c r="N9" s="198"/>
      <c r="O9" s="159"/>
      <c r="P9" s="160"/>
      <c r="Q9" s="161"/>
      <c r="R9" s="164"/>
      <c r="S9" s="170"/>
      <c r="T9" s="170"/>
      <c r="U9" s="170"/>
      <c r="V9" s="170"/>
      <c r="W9" s="170"/>
      <c r="X9" s="170"/>
      <c r="Y9" s="171"/>
      <c r="Z9" s="202"/>
      <c r="AA9" s="203"/>
      <c r="AB9" s="203"/>
      <c r="AC9" s="203"/>
      <c r="AD9" s="203"/>
      <c r="AE9" s="204"/>
    </row>
    <row r="10" spans="1:31">
      <c r="A10" s="174" t="s">
        <v>9</v>
      </c>
      <c r="B10" s="175"/>
      <c r="C10" s="176" t="s">
        <v>10</v>
      </c>
      <c r="D10" s="176"/>
      <c r="E10" s="177" t="s">
        <v>11</v>
      </c>
      <c r="F10" s="177"/>
      <c r="G10" s="178"/>
      <c r="H10" s="178"/>
      <c r="I10" s="178"/>
      <c r="J10" s="178"/>
      <c r="K10" s="178"/>
      <c r="L10" s="178"/>
      <c r="M10" s="178"/>
      <c r="N10" s="179"/>
      <c r="O10" s="180" t="s">
        <v>12</v>
      </c>
      <c r="P10" s="181"/>
      <c r="Q10" s="182"/>
      <c r="R10" s="183" t="s">
        <v>13</v>
      </c>
      <c r="S10" s="183"/>
      <c r="T10" s="183"/>
      <c r="U10" s="183"/>
      <c r="V10" s="183"/>
      <c r="W10" s="183"/>
      <c r="X10" s="183"/>
      <c r="Y10" s="175"/>
      <c r="Z10" s="143" t="s">
        <v>14</v>
      </c>
      <c r="AA10" s="143"/>
      <c r="AB10" s="143"/>
      <c r="AC10" s="143"/>
      <c r="AD10" s="143"/>
      <c r="AE10" s="143"/>
    </row>
    <row r="11" spans="1:31" ht="11.15" customHeight="1">
      <c r="A11" s="435">
        <v>1</v>
      </c>
      <c r="B11" s="438">
        <v>46188</v>
      </c>
      <c r="C11" s="439" t="s">
        <v>115</v>
      </c>
      <c r="D11" s="439"/>
      <c r="E11" s="442" t="s">
        <v>335</v>
      </c>
      <c r="F11" s="443"/>
      <c r="G11" s="443"/>
      <c r="H11" s="443"/>
      <c r="I11" s="443"/>
      <c r="J11" s="443"/>
      <c r="K11" s="443"/>
      <c r="L11" s="443"/>
      <c r="M11" s="443"/>
      <c r="N11" s="444"/>
      <c r="O11" s="451" t="s">
        <v>336</v>
      </c>
      <c r="P11" s="452"/>
      <c r="Q11" s="453"/>
      <c r="R11" s="460" t="s">
        <v>155</v>
      </c>
      <c r="S11" s="461"/>
      <c r="T11" s="461"/>
      <c r="U11" s="461"/>
      <c r="V11" s="461"/>
      <c r="W11" s="462"/>
      <c r="X11" s="469" t="s">
        <v>161</v>
      </c>
      <c r="Y11" s="469"/>
      <c r="Z11" s="472" t="s">
        <v>15</v>
      </c>
      <c r="AA11" s="473"/>
      <c r="AB11" s="474"/>
      <c r="AC11" s="478" t="s">
        <v>36</v>
      </c>
      <c r="AD11" s="479"/>
      <c r="AE11" s="482"/>
    </row>
    <row r="12" spans="1:31" ht="11.15" customHeight="1">
      <c r="A12" s="436"/>
      <c r="B12" s="438"/>
      <c r="C12" s="440"/>
      <c r="D12" s="440"/>
      <c r="E12" s="445"/>
      <c r="F12" s="446"/>
      <c r="G12" s="446"/>
      <c r="H12" s="446"/>
      <c r="I12" s="446"/>
      <c r="J12" s="446"/>
      <c r="K12" s="446"/>
      <c r="L12" s="446"/>
      <c r="M12" s="446"/>
      <c r="N12" s="447"/>
      <c r="O12" s="454"/>
      <c r="P12" s="455"/>
      <c r="Q12" s="456"/>
      <c r="R12" s="463"/>
      <c r="S12" s="464"/>
      <c r="T12" s="464"/>
      <c r="U12" s="464"/>
      <c r="V12" s="464"/>
      <c r="W12" s="465"/>
      <c r="X12" s="470"/>
      <c r="Y12" s="470"/>
      <c r="Z12" s="475"/>
      <c r="AA12" s="476"/>
      <c r="AB12" s="477"/>
      <c r="AC12" s="480"/>
      <c r="AD12" s="481"/>
      <c r="AE12" s="483"/>
    </row>
    <row r="13" spans="1:31" ht="11.15" customHeight="1">
      <c r="A13" s="436"/>
      <c r="B13" s="438"/>
      <c r="C13" s="440"/>
      <c r="D13" s="440"/>
      <c r="E13" s="445"/>
      <c r="F13" s="446"/>
      <c r="G13" s="446"/>
      <c r="H13" s="446"/>
      <c r="I13" s="446"/>
      <c r="J13" s="446"/>
      <c r="K13" s="446"/>
      <c r="L13" s="446"/>
      <c r="M13" s="446"/>
      <c r="N13" s="447"/>
      <c r="O13" s="454"/>
      <c r="P13" s="455"/>
      <c r="Q13" s="456"/>
      <c r="R13" s="463"/>
      <c r="S13" s="464"/>
      <c r="T13" s="464"/>
      <c r="U13" s="464"/>
      <c r="V13" s="464"/>
      <c r="W13" s="465"/>
      <c r="X13" s="470"/>
      <c r="Y13" s="470"/>
      <c r="Z13" s="475" t="s">
        <v>28</v>
      </c>
      <c r="AA13" s="476"/>
      <c r="AB13" s="477"/>
      <c r="AC13" s="484">
        <v>0.47916666666666669</v>
      </c>
      <c r="AD13" s="481"/>
      <c r="AE13" s="483" t="s">
        <v>27</v>
      </c>
    </row>
    <row r="14" spans="1:31" ht="11.15" customHeight="1">
      <c r="A14" s="436"/>
      <c r="B14" s="438"/>
      <c r="C14" s="440"/>
      <c r="D14" s="440"/>
      <c r="E14" s="445"/>
      <c r="F14" s="446"/>
      <c r="G14" s="446"/>
      <c r="H14" s="446"/>
      <c r="I14" s="446"/>
      <c r="J14" s="446"/>
      <c r="K14" s="446"/>
      <c r="L14" s="446"/>
      <c r="M14" s="446"/>
      <c r="N14" s="447"/>
      <c r="O14" s="454"/>
      <c r="P14" s="455"/>
      <c r="Q14" s="456"/>
      <c r="R14" s="466"/>
      <c r="S14" s="467"/>
      <c r="T14" s="467"/>
      <c r="U14" s="467"/>
      <c r="V14" s="467"/>
      <c r="W14" s="468"/>
      <c r="X14" s="470"/>
      <c r="Y14" s="470"/>
      <c r="Z14" s="475"/>
      <c r="AA14" s="476"/>
      <c r="AB14" s="477"/>
      <c r="AC14" s="480"/>
      <c r="AD14" s="481"/>
      <c r="AE14" s="483"/>
    </row>
    <row r="15" spans="1:31" ht="11.15" customHeight="1">
      <c r="A15" s="436"/>
      <c r="B15" s="485" t="str">
        <f>TEXT(B11,"(aaa)")</f>
        <v>(月)</v>
      </c>
      <c r="C15" s="440"/>
      <c r="D15" s="440"/>
      <c r="E15" s="445"/>
      <c r="F15" s="446"/>
      <c r="G15" s="446"/>
      <c r="H15" s="446"/>
      <c r="I15" s="446"/>
      <c r="J15" s="446"/>
      <c r="K15" s="446"/>
      <c r="L15" s="446"/>
      <c r="M15" s="446"/>
      <c r="N15" s="447"/>
      <c r="O15" s="454"/>
      <c r="P15" s="455"/>
      <c r="Q15" s="456"/>
      <c r="R15" s="487" t="s">
        <v>16</v>
      </c>
      <c r="S15" s="489" t="s">
        <v>156</v>
      </c>
      <c r="T15" s="490"/>
      <c r="U15" s="490"/>
      <c r="V15" s="490"/>
      <c r="W15" s="491"/>
      <c r="X15" s="470"/>
      <c r="Y15" s="470"/>
      <c r="Z15" s="475" t="s">
        <v>23</v>
      </c>
      <c r="AA15" s="476"/>
      <c r="AB15" s="477"/>
      <c r="AC15" s="484">
        <v>0.79166666666666663</v>
      </c>
      <c r="AD15" s="481"/>
      <c r="AE15" s="483" t="s">
        <v>26</v>
      </c>
    </row>
    <row r="16" spans="1:31" ht="11.15" customHeight="1">
      <c r="A16" s="437"/>
      <c r="B16" s="486"/>
      <c r="C16" s="441"/>
      <c r="D16" s="441"/>
      <c r="E16" s="448"/>
      <c r="F16" s="449"/>
      <c r="G16" s="449"/>
      <c r="H16" s="449"/>
      <c r="I16" s="449"/>
      <c r="J16" s="449"/>
      <c r="K16" s="449"/>
      <c r="L16" s="449"/>
      <c r="M16" s="449"/>
      <c r="N16" s="450"/>
      <c r="O16" s="457"/>
      <c r="P16" s="458"/>
      <c r="Q16" s="459"/>
      <c r="R16" s="488"/>
      <c r="S16" s="492"/>
      <c r="T16" s="493"/>
      <c r="U16" s="493"/>
      <c r="V16" s="493"/>
      <c r="W16" s="494"/>
      <c r="X16" s="471"/>
      <c r="Y16" s="471"/>
      <c r="Z16" s="495"/>
      <c r="AA16" s="496"/>
      <c r="AB16" s="497"/>
      <c r="AC16" s="498"/>
      <c r="AD16" s="499"/>
      <c r="AE16" s="500"/>
    </row>
    <row r="17" spans="1:31" ht="11.15" customHeight="1">
      <c r="A17" s="435">
        <v>2</v>
      </c>
      <c r="B17" s="501">
        <f>B11+1</f>
        <v>46189</v>
      </c>
      <c r="C17" s="439" t="s">
        <v>165</v>
      </c>
      <c r="D17" s="439"/>
      <c r="E17" s="502" t="s">
        <v>337</v>
      </c>
      <c r="F17" s="503"/>
      <c r="G17" s="503"/>
      <c r="H17" s="503"/>
      <c r="I17" s="503"/>
      <c r="J17" s="503"/>
      <c r="K17" s="503"/>
      <c r="L17" s="503"/>
      <c r="M17" s="503"/>
      <c r="N17" s="504"/>
      <c r="O17" s="511" t="s">
        <v>338</v>
      </c>
      <c r="P17" s="512"/>
      <c r="Q17" s="513"/>
      <c r="R17" s="460" t="s">
        <v>155</v>
      </c>
      <c r="S17" s="461"/>
      <c r="T17" s="461"/>
      <c r="U17" s="461"/>
      <c r="V17" s="461"/>
      <c r="W17" s="462"/>
      <c r="X17" s="469" t="s">
        <v>59</v>
      </c>
      <c r="Y17" s="469"/>
      <c r="Z17" s="517" t="s">
        <v>17</v>
      </c>
      <c r="AA17" s="518"/>
      <c r="AB17" s="519"/>
      <c r="AC17" s="520">
        <v>0.29166666666666669</v>
      </c>
      <c r="AD17" s="521"/>
      <c r="AE17" s="522"/>
    </row>
    <row r="18" spans="1:31" ht="11.15" customHeight="1">
      <c r="A18" s="436"/>
      <c r="B18" s="438"/>
      <c r="C18" s="440"/>
      <c r="D18" s="440"/>
      <c r="E18" s="505"/>
      <c r="F18" s="506"/>
      <c r="G18" s="506"/>
      <c r="H18" s="506"/>
      <c r="I18" s="506"/>
      <c r="J18" s="506"/>
      <c r="K18" s="506"/>
      <c r="L18" s="506"/>
      <c r="M18" s="506"/>
      <c r="N18" s="507"/>
      <c r="O18" s="514"/>
      <c r="P18" s="515"/>
      <c r="Q18" s="516"/>
      <c r="R18" s="463"/>
      <c r="S18" s="464"/>
      <c r="T18" s="464"/>
      <c r="U18" s="464"/>
      <c r="V18" s="464"/>
      <c r="W18" s="465"/>
      <c r="X18" s="470"/>
      <c r="Y18" s="470"/>
      <c r="Z18" s="475"/>
      <c r="AA18" s="476"/>
      <c r="AB18" s="477"/>
      <c r="AC18" s="480"/>
      <c r="AD18" s="481"/>
      <c r="AE18" s="483"/>
    </row>
    <row r="19" spans="1:31" ht="11.15" customHeight="1">
      <c r="A19" s="436"/>
      <c r="B19" s="438"/>
      <c r="C19" s="440"/>
      <c r="D19" s="440"/>
      <c r="E19" s="505"/>
      <c r="F19" s="506"/>
      <c r="G19" s="506"/>
      <c r="H19" s="506"/>
      <c r="I19" s="506"/>
      <c r="J19" s="506"/>
      <c r="K19" s="506"/>
      <c r="L19" s="506"/>
      <c r="M19" s="506"/>
      <c r="N19" s="507"/>
      <c r="O19" s="514"/>
      <c r="P19" s="515"/>
      <c r="Q19" s="516"/>
      <c r="R19" s="463"/>
      <c r="S19" s="464"/>
      <c r="T19" s="464"/>
      <c r="U19" s="464"/>
      <c r="V19" s="464"/>
      <c r="W19" s="465"/>
      <c r="X19" s="470"/>
      <c r="Y19" s="470"/>
      <c r="Z19" s="475" t="s">
        <v>21</v>
      </c>
      <c r="AA19" s="476"/>
      <c r="AB19" s="477"/>
      <c r="AC19" s="484">
        <v>0.54166666666666663</v>
      </c>
      <c r="AD19" s="481"/>
      <c r="AE19" s="483" t="s">
        <v>25</v>
      </c>
    </row>
    <row r="20" spans="1:31" ht="11.15" customHeight="1">
      <c r="A20" s="436"/>
      <c r="B20" s="438"/>
      <c r="C20" s="440"/>
      <c r="D20" s="440"/>
      <c r="E20" s="505"/>
      <c r="F20" s="506"/>
      <c r="G20" s="506"/>
      <c r="H20" s="506"/>
      <c r="I20" s="506"/>
      <c r="J20" s="506"/>
      <c r="K20" s="506"/>
      <c r="L20" s="506"/>
      <c r="M20" s="506"/>
      <c r="N20" s="507"/>
      <c r="O20" s="514"/>
      <c r="P20" s="515"/>
      <c r="Q20" s="516"/>
      <c r="R20" s="466"/>
      <c r="S20" s="467"/>
      <c r="T20" s="467"/>
      <c r="U20" s="467"/>
      <c r="V20" s="467"/>
      <c r="W20" s="468"/>
      <c r="X20" s="470"/>
      <c r="Y20" s="470"/>
      <c r="Z20" s="475"/>
      <c r="AA20" s="476"/>
      <c r="AB20" s="477"/>
      <c r="AC20" s="480"/>
      <c r="AD20" s="481"/>
      <c r="AE20" s="483"/>
    </row>
    <row r="21" spans="1:31" ht="11.15" customHeight="1">
      <c r="A21" s="436"/>
      <c r="B21" s="485" t="str">
        <f>TEXT(B17,"(aaa)")</f>
        <v>(火)</v>
      </c>
      <c r="C21" s="440"/>
      <c r="D21" s="440"/>
      <c r="E21" s="505"/>
      <c r="F21" s="506"/>
      <c r="G21" s="506"/>
      <c r="H21" s="506"/>
      <c r="I21" s="506"/>
      <c r="J21" s="506"/>
      <c r="K21" s="506"/>
      <c r="L21" s="506"/>
      <c r="M21" s="506"/>
      <c r="N21" s="507"/>
      <c r="O21" s="514"/>
      <c r="P21" s="515"/>
      <c r="Q21" s="516"/>
      <c r="R21" s="487" t="s">
        <v>16</v>
      </c>
      <c r="S21" s="489" t="s">
        <v>156</v>
      </c>
      <c r="T21" s="490"/>
      <c r="U21" s="490"/>
      <c r="V21" s="490"/>
      <c r="W21" s="491"/>
      <c r="X21" s="470"/>
      <c r="Y21" s="470"/>
      <c r="Z21" s="475" t="s">
        <v>22</v>
      </c>
      <c r="AA21" s="476"/>
      <c r="AB21" s="477"/>
      <c r="AC21" s="484">
        <v>0.79166666666666663</v>
      </c>
      <c r="AD21" s="481"/>
      <c r="AE21" s="483" t="s">
        <v>25</v>
      </c>
    </row>
    <row r="22" spans="1:31" ht="11.15" customHeight="1">
      <c r="A22" s="437"/>
      <c r="B22" s="486"/>
      <c r="C22" s="441"/>
      <c r="D22" s="441"/>
      <c r="E22" s="508"/>
      <c r="F22" s="509"/>
      <c r="G22" s="509"/>
      <c r="H22" s="509"/>
      <c r="I22" s="509"/>
      <c r="J22" s="509"/>
      <c r="K22" s="509"/>
      <c r="L22" s="509"/>
      <c r="M22" s="509"/>
      <c r="N22" s="510"/>
      <c r="O22" s="514"/>
      <c r="P22" s="515"/>
      <c r="Q22" s="516"/>
      <c r="R22" s="488"/>
      <c r="S22" s="492"/>
      <c r="T22" s="493"/>
      <c r="U22" s="493"/>
      <c r="V22" s="493"/>
      <c r="W22" s="494"/>
      <c r="X22" s="471"/>
      <c r="Y22" s="471"/>
      <c r="Z22" s="495"/>
      <c r="AA22" s="496"/>
      <c r="AB22" s="497"/>
      <c r="AC22" s="498"/>
      <c r="AD22" s="499"/>
      <c r="AE22" s="500"/>
    </row>
    <row r="23" spans="1:31" ht="11.15" customHeight="1">
      <c r="A23" s="435">
        <v>3</v>
      </c>
      <c r="B23" s="501">
        <f>B17+1</f>
        <v>46190</v>
      </c>
      <c r="C23" s="439" t="s">
        <v>116</v>
      </c>
      <c r="D23" s="439"/>
      <c r="E23" s="523" t="s">
        <v>339</v>
      </c>
      <c r="F23" s="524"/>
      <c r="G23" s="524"/>
      <c r="H23" s="524"/>
      <c r="I23" s="524"/>
      <c r="J23" s="524"/>
      <c r="K23" s="524"/>
      <c r="L23" s="524"/>
      <c r="M23" s="524"/>
      <c r="N23" s="525"/>
      <c r="O23" s="532" t="s">
        <v>340</v>
      </c>
      <c r="P23" s="533"/>
      <c r="Q23" s="534"/>
      <c r="R23" s="460" t="s">
        <v>58</v>
      </c>
      <c r="S23" s="461"/>
      <c r="T23" s="461"/>
      <c r="U23" s="461"/>
      <c r="V23" s="461"/>
      <c r="W23" s="462"/>
      <c r="X23" s="469" t="s">
        <v>59</v>
      </c>
      <c r="Y23" s="469"/>
      <c r="Z23" s="517" t="s">
        <v>131</v>
      </c>
      <c r="AA23" s="518"/>
      <c r="AB23" s="519"/>
      <c r="AC23" s="538" t="s">
        <v>130</v>
      </c>
      <c r="AD23" s="539"/>
      <c r="AE23" s="522" t="s">
        <v>132</v>
      </c>
    </row>
    <row r="24" spans="1:31" ht="11.15" customHeight="1">
      <c r="A24" s="436"/>
      <c r="B24" s="438"/>
      <c r="C24" s="440"/>
      <c r="D24" s="440"/>
      <c r="E24" s="526"/>
      <c r="F24" s="527"/>
      <c r="G24" s="527"/>
      <c r="H24" s="527"/>
      <c r="I24" s="527"/>
      <c r="J24" s="527"/>
      <c r="K24" s="527"/>
      <c r="L24" s="527"/>
      <c r="M24" s="527"/>
      <c r="N24" s="528"/>
      <c r="O24" s="535"/>
      <c r="P24" s="536"/>
      <c r="Q24" s="537"/>
      <c r="R24" s="463"/>
      <c r="S24" s="464"/>
      <c r="T24" s="464"/>
      <c r="U24" s="464"/>
      <c r="V24" s="464"/>
      <c r="W24" s="465"/>
      <c r="X24" s="470"/>
      <c r="Y24" s="470"/>
      <c r="Z24" s="475"/>
      <c r="AA24" s="476"/>
      <c r="AB24" s="477"/>
      <c r="AC24" s="540"/>
      <c r="AD24" s="541"/>
      <c r="AE24" s="483"/>
    </row>
    <row r="25" spans="1:31" ht="11.15" customHeight="1">
      <c r="A25" s="436"/>
      <c r="B25" s="438"/>
      <c r="C25" s="440"/>
      <c r="D25" s="440"/>
      <c r="E25" s="526"/>
      <c r="F25" s="527"/>
      <c r="G25" s="527"/>
      <c r="H25" s="527"/>
      <c r="I25" s="527"/>
      <c r="J25" s="527"/>
      <c r="K25" s="527"/>
      <c r="L25" s="527"/>
      <c r="M25" s="527"/>
      <c r="N25" s="528"/>
      <c r="O25" s="535"/>
      <c r="P25" s="536"/>
      <c r="Q25" s="537"/>
      <c r="R25" s="463"/>
      <c r="S25" s="464"/>
      <c r="T25" s="464"/>
      <c r="U25" s="464"/>
      <c r="V25" s="464"/>
      <c r="W25" s="465"/>
      <c r="X25" s="470"/>
      <c r="Y25" s="470"/>
      <c r="Z25" s="475" t="s">
        <v>68</v>
      </c>
      <c r="AA25" s="476"/>
      <c r="AB25" s="477"/>
      <c r="AC25" s="542">
        <v>0.52083333333333337</v>
      </c>
      <c r="AD25" s="481"/>
      <c r="AE25" s="483" t="s">
        <v>69</v>
      </c>
    </row>
    <row r="26" spans="1:31" ht="11.15" customHeight="1">
      <c r="A26" s="436"/>
      <c r="B26" s="438"/>
      <c r="C26" s="440"/>
      <c r="D26" s="440"/>
      <c r="E26" s="526"/>
      <c r="F26" s="527"/>
      <c r="G26" s="527"/>
      <c r="H26" s="527"/>
      <c r="I26" s="527"/>
      <c r="J26" s="527"/>
      <c r="K26" s="527"/>
      <c r="L26" s="527"/>
      <c r="M26" s="527"/>
      <c r="N26" s="528"/>
      <c r="O26" s="535"/>
      <c r="P26" s="536"/>
      <c r="Q26" s="537"/>
      <c r="R26" s="466"/>
      <c r="S26" s="467"/>
      <c r="T26" s="467"/>
      <c r="U26" s="467"/>
      <c r="V26" s="467"/>
      <c r="W26" s="468"/>
      <c r="X26" s="470"/>
      <c r="Y26" s="470"/>
      <c r="Z26" s="475"/>
      <c r="AA26" s="476"/>
      <c r="AB26" s="477"/>
      <c r="AC26" s="480"/>
      <c r="AD26" s="481"/>
      <c r="AE26" s="483"/>
    </row>
    <row r="27" spans="1:31" ht="11.15" customHeight="1">
      <c r="A27" s="436"/>
      <c r="B27" s="485" t="str">
        <f>TEXT(B23,"(aaa)")</f>
        <v>(水)</v>
      </c>
      <c r="C27" s="440"/>
      <c r="D27" s="440"/>
      <c r="E27" s="526"/>
      <c r="F27" s="527"/>
      <c r="G27" s="527"/>
      <c r="H27" s="527"/>
      <c r="I27" s="527"/>
      <c r="J27" s="527"/>
      <c r="K27" s="527"/>
      <c r="L27" s="527"/>
      <c r="M27" s="527"/>
      <c r="N27" s="528"/>
      <c r="O27" s="535"/>
      <c r="P27" s="536"/>
      <c r="Q27" s="537"/>
      <c r="R27" s="487" t="s">
        <v>19</v>
      </c>
      <c r="S27" s="489" t="s">
        <v>45</v>
      </c>
      <c r="T27" s="490"/>
      <c r="U27" s="490"/>
      <c r="V27" s="490"/>
      <c r="W27" s="491"/>
      <c r="X27" s="470"/>
      <c r="Y27" s="470"/>
      <c r="Z27" s="475" t="s">
        <v>139</v>
      </c>
      <c r="AA27" s="476"/>
      <c r="AB27" s="477"/>
      <c r="AC27" s="484">
        <v>0.79166666666666663</v>
      </c>
      <c r="AD27" s="481"/>
      <c r="AE27" s="483" t="s">
        <v>69</v>
      </c>
    </row>
    <row r="28" spans="1:31" ht="11.15" customHeight="1">
      <c r="A28" s="437"/>
      <c r="B28" s="486"/>
      <c r="C28" s="441"/>
      <c r="D28" s="441"/>
      <c r="E28" s="529"/>
      <c r="F28" s="530"/>
      <c r="G28" s="530"/>
      <c r="H28" s="530"/>
      <c r="I28" s="530"/>
      <c r="J28" s="530"/>
      <c r="K28" s="530"/>
      <c r="L28" s="530"/>
      <c r="M28" s="530"/>
      <c r="N28" s="531"/>
      <c r="O28" s="535"/>
      <c r="P28" s="536"/>
      <c r="Q28" s="537"/>
      <c r="R28" s="488"/>
      <c r="S28" s="492"/>
      <c r="T28" s="493"/>
      <c r="U28" s="493"/>
      <c r="V28" s="493"/>
      <c r="W28" s="494"/>
      <c r="X28" s="471"/>
      <c r="Y28" s="471"/>
      <c r="Z28" s="495"/>
      <c r="AA28" s="496"/>
      <c r="AB28" s="497"/>
      <c r="AC28" s="498"/>
      <c r="AD28" s="499"/>
      <c r="AE28" s="500"/>
    </row>
    <row r="29" spans="1:31" ht="11.15" customHeight="1">
      <c r="A29" s="435">
        <v>4</v>
      </c>
      <c r="B29" s="501">
        <f>B23+1</f>
        <v>46191</v>
      </c>
      <c r="C29" s="543" t="s">
        <v>118</v>
      </c>
      <c r="D29" s="544"/>
      <c r="E29" s="523" t="s">
        <v>341</v>
      </c>
      <c r="F29" s="524"/>
      <c r="G29" s="524"/>
      <c r="H29" s="524"/>
      <c r="I29" s="524"/>
      <c r="J29" s="524"/>
      <c r="K29" s="524"/>
      <c r="L29" s="524"/>
      <c r="M29" s="524"/>
      <c r="N29" s="525"/>
      <c r="O29" s="511" t="s">
        <v>342</v>
      </c>
      <c r="P29" s="512"/>
      <c r="Q29" s="513"/>
      <c r="R29" s="460" t="s">
        <v>58</v>
      </c>
      <c r="S29" s="461"/>
      <c r="T29" s="461"/>
      <c r="U29" s="461"/>
      <c r="V29" s="461"/>
      <c r="W29" s="462"/>
      <c r="X29" s="469" t="s">
        <v>59</v>
      </c>
      <c r="Y29" s="469"/>
      <c r="Z29" s="517" t="s">
        <v>17</v>
      </c>
      <c r="AA29" s="518"/>
      <c r="AB29" s="519"/>
      <c r="AC29" s="520">
        <v>0.27083333333333331</v>
      </c>
      <c r="AD29" s="521"/>
      <c r="AE29" s="522"/>
    </row>
    <row r="30" spans="1:31" ht="11.15" customHeight="1">
      <c r="A30" s="436"/>
      <c r="B30" s="438"/>
      <c r="C30" s="545"/>
      <c r="D30" s="546"/>
      <c r="E30" s="526"/>
      <c r="F30" s="527"/>
      <c r="G30" s="527"/>
      <c r="H30" s="527"/>
      <c r="I30" s="527"/>
      <c r="J30" s="527"/>
      <c r="K30" s="527"/>
      <c r="L30" s="527"/>
      <c r="M30" s="527"/>
      <c r="N30" s="528"/>
      <c r="O30" s="514"/>
      <c r="P30" s="515"/>
      <c r="Q30" s="516"/>
      <c r="R30" s="463"/>
      <c r="S30" s="464"/>
      <c r="T30" s="464"/>
      <c r="U30" s="464"/>
      <c r="V30" s="464"/>
      <c r="W30" s="465"/>
      <c r="X30" s="470"/>
      <c r="Y30" s="470"/>
      <c r="Z30" s="475"/>
      <c r="AA30" s="476"/>
      <c r="AB30" s="477"/>
      <c r="AC30" s="480"/>
      <c r="AD30" s="481"/>
      <c r="AE30" s="483"/>
    </row>
    <row r="31" spans="1:31" ht="11.15" customHeight="1">
      <c r="A31" s="436"/>
      <c r="B31" s="438"/>
      <c r="C31" s="545"/>
      <c r="D31" s="546"/>
      <c r="E31" s="526"/>
      <c r="F31" s="527"/>
      <c r="G31" s="527"/>
      <c r="H31" s="527"/>
      <c r="I31" s="527"/>
      <c r="J31" s="527"/>
      <c r="K31" s="527"/>
      <c r="L31" s="527"/>
      <c r="M31" s="527"/>
      <c r="N31" s="528"/>
      <c r="O31" s="514"/>
      <c r="P31" s="515"/>
      <c r="Q31" s="516"/>
      <c r="R31" s="463"/>
      <c r="S31" s="464"/>
      <c r="T31" s="464"/>
      <c r="U31" s="464"/>
      <c r="V31" s="464"/>
      <c r="W31" s="465"/>
      <c r="X31" s="470"/>
      <c r="Y31" s="470"/>
      <c r="Z31" s="475" t="s">
        <v>141</v>
      </c>
      <c r="AA31" s="476"/>
      <c r="AB31" s="477"/>
      <c r="AC31" s="542" t="s">
        <v>36</v>
      </c>
      <c r="AD31" s="481"/>
      <c r="AE31" s="483"/>
    </row>
    <row r="32" spans="1:31" ht="11.15" customHeight="1">
      <c r="A32" s="436"/>
      <c r="B32" s="438"/>
      <c r="C32" s="545"/>
      <c r="D32" s="546"/>
      <c r="E32" s="526"/>
      <c r="F32" s="527"/>
      <c r="G32" s="527"/>
      <c r="H32" s="527"/>
      <c r="I32" s="527"/>
      <c r="J32" s="527"/>
      <c r="K32" s="527"/>
      <c r="L32" s="527"/>
      <c r="M32" s="527"/>
      <c r="N32" s="528"/>
      <c r="O32" s="514"/>
      <c r="P32" s="515"/>
      <c r="Q32" s="516"/>
      <c r="R32" s="466"/>
      <c r="S32" s="467"/>
      <c r="T32" s="467"/>
      <c r="U32" s="467"/>
      <c r="V32" s="467"/>
      <c r="W32" s="468"/>
      <c r="X32" s="470"/>
      <c r="Y32" s="470"/>
      <c r="Z32" s="475"/>
      <c r="AA32" s="476"/>
      <c r="AB32" s="477"/>
      <c r="AC32" s="480"/>
      <c r="AD32" s="481"/>
      <c r="AE32" s="483"/>
    </row>
    <row r="33" spans="1:31" ht="11.15" customHeight="1">
      <c r="A33" s="436"/>
      <c r="B33" s="485" t="str">
        <f>TEXT(B29,"(aaa)")</f>
        <v>(木)</v>
      </c>
      <c r="C33" s="545"/>
      <c r="D33" s="546"/>
      <c r="E33" s="526"/>
      <c r="F33" s="527"/>
      <c r="G33" s="527"/>
      <c r="H33" s="527"/>
      <c r="I33" s="527"/>
      <c r="J33" s="527"/>
      <c r="K33" s="527"/>
      <c r="L33" s="527"/>
      <c r="M33" s="527"/>
      <c r="N33" s="528"/>
      <c r="O33" s="514"/>
      <c r="P33" s="515"/>
      <c r="Q33" s="516"/>
      <c r="R33" s="487" t="s">
        <v>19</v>
      </c>
      <c r="S33" s="489" t="s">
        <v>45</v>
      </c>
      <c r="T33" s="490"/>
      <c r="U33" s="490"/>
      <c r="V33" s="490"/>
      <c r="W33" s="491"/>
      <c r="X33" s="470"/>
      <c r="Y33" s="470"/>
      <c r="Z33" s="475" t="s">
        <v>139</v>
      </c>
      <c r="AA33" s="476"/>
      <c r="AB33" s="477"/>
      <c r="AC33" s="484">
        <v>0.79166666666666663</v>
      </c>
      <c r="AD33" s="481"/>
      <c r="AE33" s="483" t="s">
        <v>69</v>
      </c>
    </row>
    <row r="34" spans="1:31" ht="11.15" customHeight="1">
      <c r="A34" s="437"/>
      <c r="B34" s="486"/>
      <c r="C34" s="547"/>
      <c r="D34" s="548"/>
      <c r="E34" s="529"/>
      <c r="F34" s="530"/>
      <c r="G34" s="530"/>
      <c r="H34" s="530"/>
      <c r="I34" s="530"/>
      <c r="J34" s="530"/>
      <c r="K34" s="530"/>
      <c r="L34" s="530"/>
      <c r="M34" s="530"/>
      <c r="N34" s="531"/>
      <c r="O34" s="549"/>
      <c r="P34" s="550"/>
      <c r="Q34" s="551"/>
      <c r="R34" s="488"/>
      <c r="S34" s="492"/>
      <c r="T34" s="493"/>
      <c r="U34" s="493"/>
      <c r="V34" s="493"/>
      <c r="W34" s="494"/>
      <c r="X34" s="471"/>
      <c r="Y34" s="471"/>
      <c r="Z34" s="495"/>
      <c r="AA34" s="496"/>
      <c r="AB34" s="497"/>
      <c r="AC34" s="498"/>
      <c r="AD34" s="499"/>
      <c r="AE34" s="500"/>
    </row>
    <row r="35" spans="1:31" ht="11.15" customHeight="1">
      <c r="A35" s="228">
        <v>5</v>
      </c>
      <c r="B35" s="231">
        <f>B29+1</f>
        <v>46192</v>
      </c>
      <c r="C35" s="233" t="s">
        <v>352</v>
      </c>
      <c r="D35" s="233"/>
      <c r="E35" s="360" t="s">
        <v>353</v>
      </c>
      <c r="F35" s="361"/>
      <c r="G35" s="361"/>
      <c r="H35" s="361"/>
      <c r="I35" s="361"/>
      <c r="J35" s="361"/>
      <c r="K35" s="361"/>
      <c r="L35" s="361"/>
      <c r="M35" s="361"/>
      <c r="N35" s="362"/>
      <c r="O35" s="532" t="s">
        <v>354</v>
      </c>
      <c r="P35" s="533"/>
      <c r="Q35" s="534"/>
      <c r="R35" s="460" t="s">
        <v>58</v>
      </c>
      <c r="S35" s="461"/>
      <c r="T35" s="461"/>
      <c r="U35" s="461"/>
      <c r="V35" s="461"/>
      <c r="W35" s="462"/>
      <c r="X35" s="469" t="s">
        <v>59</v>
      </c>
      <c r="Y35" s="469"/>
      <c r="Z35" s="517" t="s">
        <v>152</v>
      </c>
      <c r="AA35" s="518"/>
      <c r="AB35" s="519"/>
      <c r="AC35" s="538" t="s">
        <v>130</v>
      </c>
      <c r="AD35" s="539"/>
      <c r="AE35" s="522" t="s">
        <v>69</v>
      </c>
    </row>
    <row r="36" spans="1:31" ht="11.15" customHeight="1">
      <c r="A36" s="229"/>
      <c r="B36" s="232"/>
      <c r="C36" s="234"/>
      <c r="D36" s="234"/>
      <c r="E36" s="363"/>
      <c r="F36" s="364"/>
      <c r="G36" s="364"/>
      <c r="H36" s="364"/>
      <c r="I36" s="364"/>
      <c r="J36" s="364"/>
      <c r="K36" s="364"/>
      <c r="L36" s="364"/>
      <c r="M36" s="364"/>
      <c r="N36" s="365"/>
      <c r="O36" s="535"/>
      <c r="P36" s="536"/>
      <c r="Q36" s="537"/>
      <c r="R36" s="463"/>
      <c r="S36" s="464"/>
      <c r="T36" s="464"/>
      <c r="U36" s="464"/>
      <c r="V36" s="464"/>
      <c r="W36" s="465"/>
      <c r="X36" s="470"/>
      <c r="Y36" s="470"/>
      <c r="Z36" s="475"/>
      <c r="AA36" s="476"/>
      <c r="AB36" s="477"/>
      <c r="AC36" s="540"/>
      <c r="AD36" s="541"/>
      <c r="AE36" s="483"/>
    </row>
    <row r="37" spans="1:31" ht="11.15" customHeight="1">
      <c r="A37" s="229"/>
      <c r="B37" s="232"/>
      <c r="C37" s="234"/>
      <c r="D37" s="234"/>
      <c r="E37" s="363"/>
      <c r="F37" s="364"/>
      <c r="G37" s="364"/>
      <c r="H37" s="364"/>
      <c r="I37" s="364"/>
      <c r="J37" s="364"/>
      <c r="K37" s="364"/>
      <c r="L37" s="364"/>
      <c r="M37" s="364"/>
      <c r="N37" s="365"/>
      <c r="O37" s="535"/>
      <c r="P37" s="536"/>
      <c r="Q37" s="537"/>
      <c r="R37" s="463"/>
      <c r="S37" s="464"/>
      <c r="T37" s="464"/>
      <c r="U37" s="464"/>
      <c r="V37" s="464"/>
      <c r="W37" s="465"/>
      <c r="X37" s="470"/>
      <c r="Y37" s="470"/>
      <c r="Z37" s="320" t="s">
        <v>140</v>
      </c>
      <c r="AA37" s="321"/>
      <c r="AB37" s="322"/>
      <c r="AC37" s="335">
        <v>0.58333333333333337</v>
      </c>
      <c r="AD37" s="324"/>
      <c r="AE37" s="326" t="s">
        <v>24</v>
      </c>
    </row>
    <row r="38" spans="1:31" ht="11.15" customHeight="1">
      <c r="A38" s="229"/>
      <c r="B38" s="232"/>
      <c r="C38" s="234"/>
      <c r="D38" s="234"/>
      <c r="E38" s="363"/>
      <c r="F38" s="364"/>
      <c r="G38" s="364"/>
      <c r="H38" s="364"/>
      <c r="I38" s="364"/>
      <c r="J38" s="364"/>
      <c r="K38" s="364"/>
      <c r="L38" s="364"/>
      <c r="M38" s="364"/>
      <c r="N38" s="365"/>
      <c r="O38" s="535"/>
      <c r="P38" s="536"/>
      <c r="Q38" s="537"/>
      <c r="R38" s="466"/>
      <c r="S38" s="467"/>
      <c r="T38" s="467"/>
      <c r="U38" s="467"/>
      <c r="V38" s="467"/>
      <c r="W38" s="468"/>
      <c r="X38" s="470"/>
      <c r="Y38" s="470"/>
      <c r="Z38" s="320"/>
      <c r="AA38" s="321"/>
      <c r="AB38" s="322"/>
      <c r="AC38" s="325"/>
      <c r="AD38" s="324"/>
      <c r="AE38" s="326"/>
    </row>
    <row r="39" spans="1:31" ht="11.15" customHeight="1">
      <c r="A39" s="229"/>
      <c r="B39" s="288" t="str">
        <f>TEXT(B35,"(aaa)")</f>
        <v>(金)</v>
      </c>
      <c r="C39" s="234"/>
      <c r="D39" s="234"/>
      <c r="E39" s="363"/>
      <c r="F39" s="364"/>
      <c r="G39" s="364"/>
      <c r="H39" s="364"/>
      <c r="I39" s="364"/>
      <c r="J39" s="364"/>
      <c r="K39" s="364"/>
      <c r="L39" s="364"/>
      <c r="M39" s="364"/>
      <c r="N39" s="365"/>
      <c r="O39" s="535"/>
      <c r="P39" s="536"/>
      <c r="Q39" s="537"/>
      <c r="R39" s="487" t="s">
        <v>19</v>
      </c>
      <c r="S39" s="489" t="s">
        <v>45</v>
      </c>
      <c r="T39" s="490"/>
      <c r="U39" s="490"/>
      <c r="V39" s="490"/>
      <c r="W39" s="491"/>
      <c r="X39" s="470"/>
      <c r="Y39" s="470"/>
      <c r="Z39" s="475" t="s">
        <v>139</v>
      </c>
      <c r="AA39" s="476"/>
      <c r="AB39" s="477"/>
      <c r="AC39" s="484">
        <v>0.8125</v>
      </c>
      <c r="AD39" s="481"/>
      <c r="AE39" s="483" t="s">
        <v>69</v>
      </c>
    </row>
    <row r="40" spans="1:31" ht="11.15" customHeight="1">
      <c r="A40" s="230"/>
      <c r="B40" s="289"/>
      <c r="C40" s="235"/>
      <c r="D40" s="235"/>
      <c r="E40" s="366"/>
      <c r="F40" s="367"/>
      <c r="G40" s="367"/>
      <c r="H40" s="367"/>
      <c r="I40" s="367"/>
      <c r="J40" s="367"/>
      <c r="K40" s="367"/>
      <c r="L40" s="367"/>
      <c r="M40" s="367"/>
      <c r="N40" s="368"/>
      <c r="O40" s="552"/>
      <c r="P40" s="553"/>
      <c r="Q40" s="554"/>
      <c r="R40" s="488"/>
      <c r="S40" s="492"/>
      <c r="T40" s="493"/>
      <c r="U40" s="493"/>
      <c r="V40" s="493"/>
      <c r="W40" s="494"/>
      <c r="X40" s="471"/>
      <c r="Y40" s="471"/>
      <c r="Z40" s="495"/>
      <c r="AA40" s="496"/>
      <c r="AB40" s="497"/>
      <c r="AC40" s="498"/>
      <c r="AD40" s="499"/>
      <c r="AE40" s="500"/>
    </row>
    <row r="41" spans="1:31" ht="11.15" customHeight="1">
      <c r="A41" s="435">
        <v>6</v>
      </c>
      <c r="B41" s="501">
        <f>B35+1</f>
        <v>46193</v>
      </c>
      <c r="C41" s="543" t="s">
        <v>118</v>
      </c>
      <c r="D41" s="544"/>
      <c r="E41" s="523" t="s">
        <v>343</v>
      </c>
      <c r="F41" s="524"/>
      <c r="G41" s="524"/>
      <c r="H41" s="524"/>
      <c r="I41" s="524"/>
      <c r="J41" s="524"/>
      <c r="K41" s="524"/>
      <c r="L41" s="524"/>
      <c r="M41" s="524"/>
      <c r="N41" s="525"/>
      <c r="O41" s="532" t="s">
        <v>344</v>
      </c>
      <c r="P41" s="533"/>
      <c r="Q41" s="534"/>
      <c r="R41" s="460" t="s">
        <v>74</v>
      </c>
      <c r="S41" s="555"/>
      <c r="T41" s="555"/>
      <c r="U41" s="555"/>
      <c r="V41" s="555"/>
      <c r="W41" s="556"/>
      <c r="X41" s="469" t="s">
        <v>59</v>
      </c>
      <c r="Y41" s="469"/>
      <c r="Z41" s="517" t="s">
        <v>17</v>
      </c>
      <c r="AA41" s="518"/>
      <c r="AB41" s="519"/>
      <c r="AC41" s="520">
        <v>0.27083333333333331</v>
      </c>
      <c r="AD41" s="521"/>
      <c r="AE41" s="522"/>
    </row>
    <row r="42" spans="1:31" ht="11.15" customHeight="1">
      <c r="A42" s="436"/>
      <c r="B42" s="438"/>
      <c r="C42" s="545"/>
      <c r="D42" s="546"/>
      <c r="E42" s="526"/>
      <c r="F42" s="527"/>
      <c r="G42" s="527"/>
      <c r="H42" s="527"/>
      <c r="I42" s="527"/>
      <c r="J42" s="527"/>
      <c r="K42" s="527"/>
      <c r="L42" s="527"/>
      <c r="M42" s="527"/>
      <c r="N42" s="528"/>
      <c r="O42" s="535"/>
      <c r="P42" s="536"/>
      <c r="Q42" s="537"/>
      <c r="R42" s="557"/>
      <c r="S42" s="558"/>
      <c r="T42" s="558"/>
      <c r="U42" s="558"/>
      <c r="V42" s="558"/>
      <c r="W42" s="559"/>
      <c r="X42" s="470"/>
      <c r="Y42" s="470"/>
      <c r="Z42" s="475"/>
      <c r="AA42" s="476"/>
      <c r="AB42" s="477"/>
      <c r="AC42" s="480"/>
      <c r="AD42" s="481"/>
      <c r="AE42" s="483"/>
    </row>
    <row r="43" spans="1:31" ht="11.15" customHeight="1">
      <c r="A43" s="436"/>
      <c r="B43" s="438"/>
      <c r="C43" s="545"/>
      <c r="D43" s="546"/>
      <c r="E43" s="526"/>
      <c r="F43" s="527"/>
      <c r="G43" s="527"/>
      <c r="H43" s="527"/>
      <c r="I43" s="527"/>
      <c r="J43" s="527"/>
      <c r="K43" s="527"/>
      <c r="L43" s="527"/>
      <c r="M43" s="527"/>
      <c r="N43" s="528"/>
      <c r="O43" s="535"/>
      <c r="P43" s="536"/>
      <c r="Q43" s="537"/>
      <c r="R43" s="557"/>
      <c r="S43" s="558"/>
      <c r="T43" s="558"/>
      <c r="U43" s="558"/>
      <c r="V43" s="558"/>
      <c r="W43" s="559"/>
      <c r="X43" s="470"/>
      <c r="Y43" s="470"/>
      <c r="Z43" s="475" t="s">
        <v>142</v>
      </c>
      <c r="AA43" s="476"/>
      <c r="AB43" s="477"/>
      <c r="AC43" s="542">
        <v>0.5625</v>
      </c>
      <c r="AD43" s="481"/>
      <c r="AE43" s="483" t="s">
        <v>69</v>
      </c>
    </row>
    <row r="44" spans="1:31" ht="11.15" customHeight="1">
      <c r="A44" s="436"/>
      <c r="B44" s="438"/>
      <c r="C44" s="545"/>
      <c r="D44" s="546"/>
      <c r="E44" s="526"/>
      <c r="F44" s="527"/>
      <c r="G44" s="527"/>
      <c r="H44" s="527"/>
      <c r="I44" s="527"/>
      <c r="J44" s="527"/>
      <c r="K44" s="527"/>
      <c r="L44" s="527"/>
      <c r="M44" s="527"/>
      <c r="N44" s="528"/>
      <c r="O44" s="535"/>
      <c r="P44" s="536"/>
      <c r="Q44" s="537"/>
      <c r="R44" s="560"/>
      <c r="S44" s="561"/>
      <c r="T44" s="561"/>
      <c r="U44" s="561"/>
      <c r="V44" s="561"/>
      <c r="W44" s="562"/>
      <c r="X44" s="470"/>
      <c r="Y44" s="470"/>
      <c r="Z44" s="475"/>
      <c r="AA44" s="476"/>
      <c r="AB44" s="477"/>
      <c r="AC44" s="480"/>
      <c r="AD44" s="481"/>
      <c r="AE44" s="483"/>
    </row>
    <row r="45" spans="1:31" ht="11.15" customHeight="1">
      <c r="A45" s="436"/>
      <c r="B45" s="485" t="str">
        <f>TEXT(B41,"(aaa)")</f>
        <v>(土)</v>
      </c>
      <c r="C45" s="545"/>
      <c r="D45" s="546"/>
      <c r="E45" s="526"/>
      <c r="F45" s="527"/>
      <c r="G45" s="527"/>
      <c r="H45" s="527"/>
      <c r="I45" s="527"/>
      <c r="J45" s="527"/>
      <c r="K45" s="527"/>
      <c r="L45" s="527"/>
      <c r="M45" s="527"/>
      <c r="N45" s="528"/>
      <c r="O45" s="535"/>
      <c r="P45" s="536"/>
      <c r="Q45" s="537"/>
      <c r="R45" s="487" t="s">
        <v>18</v>
      </c>
      <c r="S45" s="564" t="s">
        <v>75</v>
      </c>
      <c r="T45" s="565"/>
      <c r="U45" s="565"/>
      <c r="V45" s="565"/>
      <c r="W45" s="566"/>
      <c r="X45" s="470"/>
      <c r="Y45" s="470"/>
      <c r="Z45" s="475" t="s">
        <v>37</v>
      </c>
      <c r="AA45" s="476"/>
      <c r="AB45" s="477"/>
      <c r="AC45" s="484">
        <v>0.79166666666666663</v>
      </c>
      <c r="AD45" s="481"/>
      <c r="AE45" s="483" t="s">
        <v>39</v>
      </c>
    </row>
    <row r="46" spans="1:31" ht="11.15" customHeight="1">
      <c r="A46" s="437"/>
      <c r="B46" s="486"/>
      <c r="C46" s="547"/>
      <c r="D46" s="548"/>
      <c r="E46" s="529"/>
      <c r="F46" s="530"/>
      <c r="G46" s="530"/>
      <c r="H46" s="530"/>
      <c r="I46" s="530"/>
      <c r="J46" s="530"/>
      <c r="K46" s="530"/>
      <c r="L46" s="530"/>
      <c r="M46" s="530"/>
      <c r="N46" s="531"/>
      <c r="O46" s="552"/>
      <c r="P46" s="553"/>
      <c r="Q46" s="554"/>
      <c r="R46" s="563"/>
      <c r="S46" s="567"/>
      <c r="T46" s="568"/>
      <c r="U46" s="568"/>
      <c r="V46" s="568"/>
      <c r="W46" s="569"/>
      <c r="X46" s="471"/>
      <c r="Y46" s="471"/>
      <c r="Z46" s="495"/>
      <c r="AA46" s="496"/>
      <c r="AB46" s="497"/>
      <c r="AC46" s="498"/>
      <c r="AD46" s="499"/>
      <c r="AE46" s="500"/>
    </row>
    <row r="47" spans="1:31" ht="11.15" customHeight="1">
      <c r="A47" s="435">
        <v>7</v>
      </c>
      <c r="B47" s="501">
        <f>B41+1</f>
        <v>46194</v>
      </c>
      <c r="C47" s="543" t="s">
        <v>118</v>
      </c>
      <c r="D47" s="544"/>
      <c r="E47" s="523" t="s">
        <v>345</v>
      </c>
      <c r="F47" s="524"/>
      <c r="G47" s="524"/>
      <c r="H47" s="524"/>
      <c r="I47" s="524"/>
      <c r="J47" s="524"/>
      <c r="K47" s="524"/>
      <c r="L47" s="524"/>
      <c r="M47" s="524"/>
      <c r="N47" s="525"/>
      <c r="O47" s="532" t="s">
        <v>346</v>
      </c>
      <c r="P47" s="533"/>
      <c r="Q47" s="534"/>
      <c r="R47" s="460" t="s">
        <v>74</v>
      </c>
      <c r="S47" s="555"/>
      <c r="T47" s="555"/>
      <c r="U47" s="555"/>
      <c r="V47" s="555"/>
      <c r="W47" s="556"/>
      <c r="X47" s="469" t="s">
        <v>59</v>
      </c>
      <c r="Y47" s="469"/>
      <c r="Z47" s="517" t="s">
        <v>17</v>
      </c>
      <c r="AA47" s="518"/>
      <c r="AB47" s="519"/>
      <c r="AC47" s="520">
        <v>0.28125</v>
      </c>
      <c r="AD47" s="521"/>
      <c r="AE47" s="522"/>
    </row>
    <row r="48" spans="1:31" ht="11.15" customHeight="1">
      <c r="A48" s="436"/>
      <c r="B48" s="438"/>
      <c r="C48" s="545"/>
      <c r="D48" s="546"/>
      <c r="E48" s="526"/>
      <c r="F48" s="527"/>
      <c r="G48" s="527"/>
      <c r="H48" s="527"/>
      <c r="I48" s="527"/>
      <c r="J48" s="527"/>
      <c r="K48" s="527"/>
      <c r="L48" s="527"/>
      <c r="M48" s="527"/>
      <c r="N48" s="528"/>
      <c r="O48" s="535"/>
      <c r="P48" s="536"/>
      <c r="Q48" s="537"/>
      <c r="R48" s="557"/>
      <c r="S48" s="558"/>
      <c r="T48" s="558"/>
      <c r="U48" s="558"/>
      <c r="V48" s="558"/>
      <c r="W48" s="559"/>
      <c r="X48" s="470"/>
      <c r="Y48" s="470"/>
      <c r="Z48" s="475"/>
      <c r="AA48" s="476"/>
      <c r="AB48" s="477"/>
      <c r="AC48" s="480"/>
      <c r="AD48" s="481"/>
      <c r="AE48" s="483"/>
    </row>
    <row r="49" spans="1:31" ht="11.15" customHeight="1">
      <c r="A49" s="436"/>
      <c r="B49" s="438"/>
      <c r="C49" s="545"/>
      <c r="D49" s="546"/>
      <c r="E49" s="526"/>
      <c r="F49" s="527"/>
      <c r="G49" s="527"/>
      <c r="H49" s="527"/>
      <c r="I49" s="527"/>
      <c r="J49" s="527"/>
      <c r="K49" s="527"/>
      <c r="L49" s="527"/>
      <c r="M49" s="527"/>
      <c r="N49" s="528"/>
      <c r="O49" s="535"/>
      <c r="P49" s="536"/>
      <c r="Q49" s="537"/>
      <c r="R49" s="557"/>
      <c r="S49" s="558"/>
      <c r="T49" s="558"/>
      <c r="U49" s="558"/>
      <c r="V49" s="558"/>
      <c r="W49" s="559"/>
      <c r="X49" s="470"/>
      <c r="Y49" s="470"/>
      <c r="Z49" s="475" t="s">
        <v>38</v>
      </c>
      <c r="AA49" s="476"/>
      <c r="AB49" s="477"/>
      <c r="AC49" s="484">
        <v>0.54166666666666663</v>
      </c>
      <c r="AD49" s="481"/>
      <c r="AE49" s="483" t="s">
        <v>40</v>
      </c>
    </row>
    <row r="50" spans="1:31" ht="11.15" customHeight="1">
      <c r="A50" s="436"/>
      <c r="B50" s="438"/>
      <c r="C50" s="545"/>
      <c r="D50" s="546"/>
      <c r="E50" s="526"/>
      <c r="F50" s="527"/>
      <c r="G50" s="527"/>
      <c r="H50" s="527"/>
      <c r="I50" s="527"/>
      <c r="J50" s="527"/>
      <c r="K50" s="527"/>
      <c r="L50" s="527"/>
      <c r="M50" s="527"/>
      <c r="N50" s="528"/>
      <c r="O50" s="535"/>
      <c r="P50" s="536"/>
      <c r="Q50" s="537"/>
      <c r="R50" s="560"/>
      <c r="S50" s="561"/>
      <c r="T50" s="561"/>
      <c r="U50" s="561"/>
      <c r="V50" s="561"/>
      <c r="W50" s="562"/>
      <c r="X50" s="470"/>
      <c r="Y50" s="470"/>
      <c r="Z50" s="475"/>
      <c r="AA50" s="476"/>
      <c r="AB50" s="477"/>
      <c r="AC50" s="480"/>
      <c r="AD50" s="481"/>
      <c r="AE50" s="483"/>
    </row>
    <row r="51" spans="1:31" ht="11.15" customHeight="1">
      <c r="A51" s="436"/>
      <c r="B51" s="485" t="str">
        <f>TEXT(B47,"(aaa)")</f>
        <v>(日)</v>
      </c>
      <c r="C51" s="545"/>
      <c r="D51" s="546"/>
      <c r="E51" s="526"/>
      <c r="F51" s="527"/>
      <c r="G51" s="527"/>
      <c r="H51" s="527"/>
      <c r="I51" s="527"/>
      <c r="J51" s="527"/>
      <c r="K51" s="527"/>
      <c r="L51" s="527"/>
      <c r="M51" s="527"/>
      <c r="N51" s="528"/>
      <c r="O51" s="535"/>
      <c r="P51" s="536"/>
      <c r="Q51" s="537"/>
      <c r="R51" s="487" t="s">
        <v>18</v>
      </c>
      <c r="S51" s="564" t="s">
        <v>75</v>
      </c>
      <c r="T51" s="565"/>
      <c r="U51" s="565"/>
      <c r="V51" s="565"/>
      <c r="W51" s="566"/>
      <c r="X51" s="470"/>
      <c r="Y51" s="470"/>
      <c r="Z51" s="475" t="s">
        <v>37</v>
      </c>
      <c r="AA51" s="476"/>
      <c r="AB51" s="477"/>
      <c r="AC51" s="484">
        <v>0.79166666666666663</v>
      </c>
      <c r="AD51" s="481"/>
      <c r="AE51" s="483" t="s">
        <v>40</v>
      </c>
    </row>
    <row r="52" spans="1:31" ht="11.15" customHeight="1">
      <c r="A52" s="437"/>
      <c r="B52" s="486"/>
      <c r="C52" s="547"/>
      <c r="D52" s="548"/>
      <c r="E52" s="529"/>
      <c r="F52" s="530"/>
      <c r="G52" s="530"/>
      <c r="H52" s="530"/>
      <c r="I52" s="530"/>
      <c r="J52" s="530"/>
      <c r="K52" s="530"/>
      <c r="L52" s="530"/>
      <c r="M52" s="530"/>
      <c r="N52" s="531"/>
      <c r="O52" s="535"/>
      <c r="P52" s="536"/>
      <c r="Q52" s="537"/>
      <c r="R52" s="563"/>
      <c r="S52" s="567"/>
      <c r="T52" s="568"/>
      <c r="U52" s="568"/>
      <c r="V52" s="568"/>
      <c r="W52" s="569"/>
      <c r="X52" s="471"/>
      <c r="Y52" s="471"/>
      <c r="Z52" s="495"/>
      <c r="AA52" s="496"/>
      <c r="AB52" s="497"/>
      <c r="AC52" s="498"/>
      <c r="AD52" s="499"/>
      <c r="AE52" s="500"/>
    </row>
    <row r="53" spans="1:31" ht="11.15" customHeight="1">
      <c r="A53" s="435">
        <v>8</v>
      </c>
      <c r="B53" s="501">
        <f>B47+1</f>
        <v>46195</v>
      </c>
      <c r="C53" s="543" t="s">
        <v>119</v>
      </c>
      <c r="D53" s="544"/>
      <c r="E53" s="502" t="s">
        <v>347</v>
      </c>
      <c r="F53" s="503"/>
      <c r="G53" s="503"/>
      <c r="H53" s="503"/>
      <c r="I53" s="503"/>
      <c r="J53" s="503"/>
      <c r="K53" s="503"/>
      <c r="L53" s="503"/>
      <c r="M53" s="503"/>
      <c r="N53" s="504"/>
      <c r="O53" s="532" t="s">
        <v>348</v>
      </c>
      <c r="P53" s="533"/>
      <c r="Q53" s="534"/>
      <c r="R53" s="460" t="s">
        <v>136</v>
      </c>
      <c r="S53" s="555"/>
      <c r="T53" s="555"/>
      <c r="U53" s="555"/>
      <c r="V53" s="555"/>
      <c r="W53" s="556"/>
      <c r="X53" s="469" t="s">
        <v>59</v>
      </c>
      <c r="Y53" s="469"/>
      <c r="Z53" s="472" t="s">
        <v>17</v>
      </c>
      <c r="AA53" s="473"/>
      <c r="AB53" s="474"/>
      <c r="AC53" s="570">
        <v>0.28125</v>
      </c>
      <c r="AD53" s="479"/>
      <c r="AE53" s="482"/>
    </row>
    <row r="54" spans="1:31" ht="11.15" customHeight="1">
      <c r="A54" s="436"/>
      <c r="B54" s="438"/>
      <c r="C54" s="545"/>
      <c r="D54" s="546"/>
      <c r="E54" s="505"/>
      <c r="F54" s="506"/>
      <c r="G54" s="506"/>
      <c r="H54" s="506"/>
      <c r="I54" s="506"/>
      <c r="J54" s="506"/>
      <c r="K54" s="506"/>
      <c r="L54" s="506"/>
      <c r="M54" s="506"/>
      <c r="N54" s="507"/>
      <c r="O54" s="535"/>
      <c r="P54" s="536"/>
      <c r="Q54" s="537"/>
      <c r="R54" s="557"/>
      <c r="S54" s="558"/>
      <c r="T54" s="558"/>
      <c r="U54" s="558"/>
      <c r="V54" s="558"/>
      <c r="W54" s="559"/>
      <c r="X54" s="470"/>
      <c r="Y54" s="470"/>
      <c r="Z54" s="475"/>
      <c r="AA54" s="476"/>
      <c r="AB54" s="477"/>
      <c r="AC54" s="480"/>
      <c r="AD54" s="481"/>
      <c r="AE54" s="483"/>
    </row>
    <row r="55" spans="1:31" ht="11.15" customHeight="1">
      <c r="A55" s="436"/>
      <c r="B55" s="438"/>
      <c r="C55" s="545"/>
      <c r="D55" s="546"/>
      <c r="E55" s="505"/>
      <c r="F55" s="506"/>
      <c r="G55" s="506"/>
      <c r="H55" s="506"/>
      <c r="I55" s="506"/>
      <c r="J55" s="506"/>
      <c r="K55" s="506"/>
      <c r="L55" s="506"/>
      <c r="M55" s="506"/>
      <c r="N55" s="507"/>
      <c r="O55" s="535"/>
      <c r="P55" s="536"/>
      <c r="Q55" s="537"/>
      <c r="R55" s="557"/>
      <c r="S55" s="558"/>
      <c r="T55" s="558"/>
      <c r="U55" s="558"/>
      <c r="V55" s="558"/>
      <c r="W55" s="559"/>
      <c r="X55" s="470"/>
      <c r="Y55" s="470"/>
      <c r="Z55" s="571" t="s">
        <v>126</v>
      </c>
      <c r="AA55" s="572"/>
      <c r="AB55" s="573"/>
      <c r="AC55" s="484">
        <v>0.52777777777777779</v>
      </c>
      <c r="AD55" s="481"/>
      <c r="AE55" s="483" t="s">
        <v>63</v>
      </c>
    </row>
    <row r="56" spans="1:31" ht="11.15" customHeight="1">
      <c r="A56" s="436"/>
      <c r="B56" s="438"/>
      <c r="C56" s="545"/>
      <c r="D56" s="546"/>
      <c r="E56" s="505"/>
      <c r="F56" s="506"/>
      <c r="G56" s="506"/>
      <c r="H56" s="506"/>
      <c r="I56" s="506"/>
      <c r="J56" s="506"/>
      <c r="K56" s="506"/>
      <c r="L56" s="506"/>
      <c r="M56" s="506"/>
      <c r="N56" s="507"/>
      <c r="O56" s="535"/>
      <c r="P56" s="536"/>
      <c r="Q56" s="537"/>
      <c r="R56" s="560"/>
      <c r="S56" s="561"/>
      <c r="T56" s="561"/>
      <c r="U56" s="561"/>
      <c r="V56" s="561"/>
      <c r="W56" s="562"/>
      <c r="X56" s="470"/>
      <c r="Y56" s="470"/>
      <c r="Z56" s="571"/>
      <c r="AA56" s="572"/>
      <c r="AB56" s="573"/>
      <c r="AC56" s="480"/>
      <c r="AD56" s="481"/>
      <c r="AE56" s="483"/>
    </row>
    <row r="57" spans="1:31" ht="11.15" customHeight="1">
      <c r="A57" s="436"/>
      <c r="B57" s="485" t="str">
        <f>TEXT(B53,"(aaa)")</f>
        <v>(月)</v>
      </c>
      <c r="C57" s="545"/>
      <c r="D57" s="546"/>
      <c r="E57" s="505"/>
      <c r="F57" s="506"/>
      <c r="G57" s="506"/>
      <c r="H57" s="506"/>
      <c r="I57" s="506"/>
      <c r="J57" s="506"/>
      <c r="K57" s="506"/>
      <c r="L57" s="506"/>
      <c r="M57" s="506"/>
      <c r="N57" s="507"/>
      <c r="O57" s="535"/>
      <c r="P57" s="536"/>
      <c r="Q57" s="537"/>
      <c r="R57" s="487" t="s">
        <v>137</v>
      </c>
      <c r="S57" s="489" t="s">
        <v>138</v>
      </c>
      <c r="T57" s="565"/>
      <c r="U57" s="565"/>
      <c r="V57" s="565"/>
      <c r="W57" s="566"/>
      <c r="X57" s="470"/>
      <c r="Y57" s="470"/>
      <c r="Z57" s="475" t="s">
        <v>143</v>
      </c>
      <c r="AA57" s="476"/>
      <c r="AB57" s="477"/>
      <c r="AC57" s="484">
        <v>0.79166666666666663</v>
      </c>
      <c r="AD57" s="481"/>
      <c r="AE57" s="483" t="s">
        <v>144</v>
      </c>
    </row>
    <row r="58" spans="1:31" ht="11.15" customHeight="1">
      <c r="A58" s="437"/>
      <c r="B58" s="486"/>
      <c r="C58" s="547"/>
      <c r="D58" s="548"/>
      <c r="E58" s="508"/>
      <c r="F58" s="509"/>
      <c r="G58" s="509"/>
      <c r="H58" s="509"/>
      <c r="I58" s="509"/>
      <c r="J58" s="509"/>
      <c r="K58" s="509"/>
      <c r="L58" s="509"/>
      <c r="M58" s="509"/>
      <c r="N58" s="510"/>
      <c r="O58" s="535"/>
      <c r="P58" s="536"/>
      <c r="Q58" s="537"/>
      <c r="R58" s="563"/>
      <c r="S58" s="567"/>
      <c r="T58" s="568"/>
      <c r="U58" s="568"/>
      <c r="V58" s="568"/>
      <c r="W58" s="569"/>
      <c r="X58" s="471"/>
      <c r="Y58" s="471"/>
      <c r="Z58" s="495"/>
      <c r="AA58" s="496"/>
      <c r="AB58" s="497"/>
      <c r="AC58" s="498"/>
      <c r="AD58" s="499"/>
      <c r="AE58" s="500"/>
    </row>
    <row r="59" spans="1:31" ht="11.15" customHeight="1">
      <c r="A59" s="435">
        <v>9</v>
      </c>
      <c r="B59" s="501">
        <f>B53+1</f>
        <v>46196</v>
      </c>
      <c r="C59" s="543" t="s">
        <v>115</v>
      </c>
      <c r="D59" s="544"/>
      <c r="E59" s="574" t="s">
        <v>349</v>
      </c>
      <c r="F59" s="575"/>
      <c r="G59" s="575"/>
      <c r="H59" s="575"/>
      <c r="I59" s="575"/>
      <c r="J59" s="575"/>
      <c r="K59" s="575"/>
      <c r="L59" s="575"/>
      <c r="M59" s="575"/>
      <c r="N59" s="576"/>
      <c r="O59" s="532"/>
      <c r="P59" s="533"/>
      <c r="Q59" s="534"/>
      <c r="R59" s="460" t="s">
        <v>121</v>
      </c>
      <c r="S59" s="555"/>
      <c r="T59" s="555"/>
      <c r="U59" s="555"/>
      <c r="V59" s="555"/>
      <c r="W59" s="556"/>
      <c r="X59" s="469" t="s">
        <v>59</v>
      </c>
      <c r="Y59" s="469"/>
      <c r="Z59" s="472" t="s">
        <v>17</v>
      </c>
      <c r="AA59" s="473"/>
      <c r="AB59" s="474"/>
      <c r="AC59" s="570">
        <v>0.29166666666666669</v>
      </c>
      <c r="AD59" s="479"/>
      <c r="AE59" s="482"/>
    </row>
    <row r="60" spans="1:31" ht="11.15" customHeight="1">
      <c r="A60" s="436"/>
      <c r="B60" s="438"/>
      <c r="C60" s="545"/>
      <c r="D60" s="546"/>
      <c r="E60" s="577"/>
      <c r="F60" s="578"/>
      <c r="G60" s="578"/>
      <c r="H60" s="578"/>
      <c r="I60" s="578"/>
      <c r="J60" s="578"/>
      <c r="K60" s="578"/>
      <c r="L60" s="578"/>
      <c r="M60" s="578"/>
      <c r="N60" s="579"/>
      <c r="O60" s="535"/>
      <c r="P60" s="536"/>
      <c r="Q60" s="537"/>
      <c r="R60" s="557"/>
      <c r="S60" s="558"/>
      <c r="T60" s="558"/>
      <c r="U60" s="558"/>
      <c r="V60" s="558"/>
      <c r="W60" s="559"/>
      <c r="X60" s="470"/>
      <c r="Y60" s="470"/>
      <c r="Z60" s="475"/>
      <c r="AA60" s="476"/>
      <c r="AB60" s="477"/>
      <c r="AC60" s="480"/>
      <c r="AD60" s="481"/>
      <c r="AE60" s="483"/>
    </row>
    <row r="61" spans="1:31" ht="11.15" customHeight="1">
      <c r="A61" s="436"/>
      <c r="B61" s="438"/>
      <c r="C61" s="545"/>
      <c r="D61" s="546"/>
      <c r="E61" s="577"/>
      <c r="F61" s="578"/>
      <c r="G61" s="578"/>
      <c r="H61" s="578"/>
      <c r="I61" s="578"/>
      <c r="J61" s="578"/>
      <c r="K61" s="578"/>
      <c r="L61" s="578"/>
      <c r="M61" s="578"/>
      <c r="N61" s="579"/>
      <c r="O61" s="535"/>
      <c r="P61" s="536"/>
      <c r="Q61" s="537"/>
      <c r="R61" s="557"/>
      <c r="S61" s="558"/>
      <c r="T61" s="558"/>
      <c r="U61" s="558"/>
      <c r="V61" s="558"/>
      <c r="W61" s="559"/>
      <c r="X61" s="470"/>
      <c r="Y61" s="470"/>
      <c r="Z61" s="475" t="s">
        <v>65</v>
      </c>
      <c r="AA61" s="476"/>
      <c r="AB61" s="477"/>
      <c r="AC61" s="484">
        <v>0.52083333333333337</v>
      </c>
      <c r="AD61" s="481"/>
      <c r="AE61" s="483" t="s">
        <v>64</v>
      </c>
    </row>
    <row r="62" spans="1:31" ht="11.15" customHeight="1">
      <c r="A62" s="436"/>
      <c r="B62" s="438"/>
      <c r="C62" s="545"/>
      <c r="D62" s="546"/>
      <c r="E62" s="577"/>
      <c r="F62" s="578"/>
      <c r="G62" s="578"/>
      <c r="H62" s="578"/>
      <c r="I62" s="578"/>
      <c r="J62" s="578"/>
      <c r="K62" s="578"/>
      <c r="L62" s="578"/>
      <c r="M62" s="578"/>
      <c r="N62" s="579"/>
      <c r="O62" s="535"/>
      <c r="P62" s="536"/>
      <c r="Q62" s="537"/>
      <c r="R62" s="560"/>
      <c r="S62" s="561"/>
      <c r="T62" s="561"/>
      <c r="U62" s="561"/>
      <c r="V62" s="561"/>
      <c r="W62" s="562"/>
      <c r="X62" s="470"/>
      <c r="Y62" s="470"/>
      <c r="Z62" s="475"/>
      <c r="AA62" s="476"/>
      <c r="AB62" s="477"/>
      <c r="AC62" s="480"/>
      <c r="AD62" s="481"/>
      <c r="AE62" s="483"/>
    </row>
    <row r="63" spans="1:31" ht="11.15" customHeight="1">
      <c r="A63" s="436"/>
      <c r="B63" s="485" t="str">
        <f>TEXT(B59,"(aaa)")</f>
        <v>(火)</v>
      </c>
      <c r="C63" s="545"/>
      <c r="D63" s="546"/>
      <c r="E63" s="577"/>
      <c r="F63" s="578"/>
      <c r="G63" s="578"/>
      <c r="H63" s="578"/>
      <c r="I63" s="578"/>
      <c r="J63" s="578"/>
      <c r="K63" s="578"/>
      <c r="L63" s="578"/>
      <c r="M63" s="578"/>
      <c r="N63" s="579"/>
      <c r="O63" s="535"/>
      <c r="P63" s="536"/>
      <c r="Q63" s="537"/>
      <c r="R63" s="487" t="s">
        <v>76</v>
      </c>
      <c r="S63" s="489" t="s">
        <v>120</v>
      </c>
      <c r="T63" s="565"/>
      <c r="U63" s="565"/>
      <c r="V63" s="565"/>
      <c r="W63" s="566"/>
      <c r="X63" s="470"/>
      <c r="Y63" s="470"/>
      <c r="Z63" s="475" t="s">
        <v>146</v>
      </c>
      <c r="AA63" s="476"/>
      <c r="AB63" s="477"/>
      <c r="AC63" s="484">
        <v>0.79166666666666663</v>
      </c>
      <c r="AD63" s="481"/>
      <c r="AE63" s="483" t="s">
        <v>27</v>
      </c>
    </row>
    <row r="64" spans="1:31" ht="11.15" customHeight="1">
      <c r="A64" s="437"/>
      <c r="B64" s="486"/>
      <c r="C64" s="547"/>
      <c r="D64" s="548"/>
      <c r="E64" s="580"/>
      <c r="F64" s="581"/>
      <c r="G64" s="581"/>
      <c r="H64" s="581"/>
      <c r="I64" s="581"/>
      <c r="J64" s="581"/>
      <c r="K64" s="581"/>
      <c r="L64" s="581"/>
      <c r="M64" s="581"/>
      <c r="N64" s="582"/>
      <c r="O64" s="535"/>
      <c r="P64" s="536"/>
      <c r="Q64" s="537"/>
      <c r="R64" s="563"/>
      <c r="S64" s="567"/>
      <c r="T64" s="568"/>
      <c r="U64" s="568"/>
      <c r="V64" s="568"/>
      <c r="W64" s="569"/>
      <c r="X64" s="471"/>
      <c r="Y64" s="471"/>
      <c r="Z64" s="495"/>
      <c r="AA64" s="496"/>
      <c r="AB64" s="497"/>
      <c r="AC64" s="498"/>
      <c r="AD64" s="499"/>
      <c r="AE64" s="500"/>
    </row>
    <row r="65" spans="1:31" ht="11.15" customHeight="1">
      <c r="A65" s="435">
        <v>10</v>
      </c>
      <c r="B65" s="501">
        <f t="shared" ref="B65" si="0">B59+1</f>
        <v>46197</v>
      </c>
      <c r="C65" s="543" t="s">
        <v>115</v>
      </c>
      <c r="D65" s="544"/>
      <c r="E65" s="523" t="s">
        <v>350</v>
      </c>
      <c r="F65" s="524"/>
      <c r="G65" s="524"/>
      <c r="H65" s="524"/>
      <c r="I65" s="524"/>
      <c r="J65" s="524"/>
      <c r="K65" s="524"/>
      <c r="L65" s="524"/>
      <c r="M65" s="524"/>
      <c r="N65" s="525"/>
      <c r="O65" s="532" t="s">
        <v>333</v>
      </c>
      <c r="P65" s="533"/>
      <c r="Q65" s="534"/>
      <c r="R65" s="460" t="s">
        <v>121</v>
      </c>
      <c r="S65" s="555"/>
      <c r="T65" s="555"/>
      <c r="U65" s="555"/>
      <c r="V65" s="555"/>
      <c r="W65" s="556"/>
      <c r="X65" s="469" t="s">
        <v>59</v>
      </c>
      <c r="Y65" s="469"/>
      <c r="Z65" s="472" t="s">
        <v>17</v>
      </c>
      <c r="AA65" s="473"/>
      <c r="AB65" s="474"/>
      <c r="AC65" s="520">
        <v>0.27083333333333331</v>
      </c>
      <c r="AD65" s="521"/>
      <c r="AE65" s="482"/>
    </row>
    <row r="66" spans="1:31" ht="11.15" customHeight="1">
      <c r="A66" s="436"/>
      <c r="B66" s="438"/>
      <c r="C66" s="545"/>
      <c r="D66" s="546"/>
      <c r="E66" s="526"/>
      <c r="F66" s="527"/>
      <c r="G66" s="527"/>
      <c r="H66" s="527"/>
      <c r="I66" s="527"/>
      <c r="J66" s="527"/>
      <c r="K66" s="527"/>
      <c r="L66" s="527"/>
      <c r="M66" s="527"/>
      <c r="N66" s="528"/>
      <c r="O66" s="535"/>
      <c r="P66" s="536"/>
      <c r="Q66" s="537"/>
      <c r="R66" s="557"/>
      <c r="S66" s="558"/>
      <c r="T66" s="558"/>
      <c r="U66" s="558"/>
      <c r="V66" s="558"/>
      <c r="W66" s="559"/>
      <c r="X66" s="470"/>
      <c r="Y66" s="470"/>
      <c r="Z66" s="475"/>
      <c r="AA66" s="476"/>
      <c r="AB66" s="477"/>
      <c r="AC66" s="480"/>
      <c r="AD66" s="481"/>
      <c r="AE66" s="483"/>
    </row>
    <row r="67" spans="1:31" ht="11.15" customHeight="1">
      <c r="A67" s="436"/>
      <c r="B67" s="438"/>
      <c r="C67" s="545"/>
      <c r="D67" s="546"/>
      <c r="E67" s="526"/>
      <c r="F67" s="527"/>
      <c r="G67" s="527"/>
      <c r="H67" s="527"/>
      <c r="I67" s="527"/>
      <c r="J67" s="527"/>
      <c r="K67" s="527"/>
      <c r="L67" s="527"/>
      <c r="M67" s="527"/>
      <c r="N67" s="528"/>
      <c r="O67" s="535"/>
      <c r="P67" s="536"/>
      <c r="Q67" s="537"/>
      <c r="R67" s="557"/>
      <c r="S67" s="558"/>
      <c r="T67" s="558"/>
      <c r="U67" s="558"/>
      <c r="V67" s="558"/>
      <c r="W67" s="559"/>
      <c r="X67" s="470"/>
      <c r="Y67" s="470"/>
      <c r="Z67" s="475" t="s">
        <v>80</v>
      </c>
      <c r="AA67" s="476"/>
      <c r="AB67" s="477"/>
      <c r="AC67" s="542" t="s">
        <v>36</v>
      </c>
      <c r="AD67" s="481"/>
      <c r="AE67" s="483"/>
    </row>
    <row r="68" spans="1:31" ht="11.15" customHeight="1">
      <c r="A68" s="436"/>
      <c r="B68" s="438"/>
      <c r="C68" s="545"/>
      <c r="D68" s="546"/>
      <c r="E68" s="526"/>
      <c r="F68" s="527"/>
      <c r="G68" s="527"/>
      <c r="H68" s="527"/>
      <c r="I68" s="527"/>
      <c r="J68" s="527"/>
      <c r="K68" s="527"/>
      <c r="L68" s="527"/>
      <c r="M68" s="527"/>
      <c r="N68" s="528"/>
      <c r="O68" s="535"/>
      <c r="P68" s="536"/>
      <c r="Q68" s="537"/>
      <c r="R68" s="560"/>
      <c r="S68" s="561"/>
      <c r="T68" s="561"/>
      <c r="U68" s="561"/>
      <c r="V68" s="561"/>
      <c r="W68" s="562"/>
      <c r="X68" s="470"/>
      <c r="Y68" s="470"/>
      <c r="Z68" s="475"/>
      <c r="AA68" s="476"/>
      <c r="AB68" s="477"/>
      <c r="AC68" s="480"/>
      <c r="AD68" s="481"/>
      <c r="AE68" s="483"/>
    </row>
    <row r="69" spans="1:31" ht="11.15" customHeight="1">
      <c r="A69" s="436"/>
      <c r="B69" s="485" t="str">
        <f>TEXT(B65,"(aaa)")</f>
        <v>(水)</v>
      </c>
      <c r="C69" s="545"/>
      <c r="D69" s="546"/>
      <c r="E69" s="526"/>
      <c r="F69" s="527"/>
      <c r="G69" s="527"/>
      <c r="H69" s="527"/>
      <c r="I69" s="527"/>
      <c r="J69" s="527"/>
      <c r="K69" s="527"/>
      <c r="L69" s="527"/>
      <c r="M69" s="527"/>
      <c r="N69" s="528"/>
      <c r="O69" s="535"/>
      <c r="P69" s="536"/>
      <c r="Q69" s="537"/>
      <c r="R69" s="487" t="s">
        <v>76</v>
      </c>
      <c r="S69" s="489" t="s">
        <v>120</v>
      </c>
      <c r="T69" s="565"/>
      <c r="U69" s="565"/>
      <c r="V69" s="565"/>
      <c r="W69" s="566"/>
      <c r="X69" s="470"/>
      <c r="Y69" s="470"/>
      <c r="Z69" s="475" t="s">
        <v>151</v>
      </c>
      <c r="AA69" s="476"/>
      <c r="AB69" s="477"/>
      <c r="AC69" s="484">
        <v>0.79166666666666663</v>
      </c>
      <c r="AD69" s="481"/>
      <c r="AE69" s="483" t="s">
        <v>147</v>
      </c>
    </row>
    <row r="70" spans="1:31" ht="11.15" customHeight="1">
      <c r="A70" s="437"/>
      <c r="B70" s="486"/>
      <c r="C70" s="547"/>
      <c r="D70" s="548"/>
      <c r="E70" s="529"/>
      <c r="F70" s="530"/>
      <c r="G70" s="530"/>
      <c r="H70" s="530"/>
      <c r="I70" s="530"/>
      <c r="J70" s="530"/>
      <c r="K70" s="530"/>
      <c r="L70" s="530"/>
      <c r="M70" s="530"/>
      <c r="N70" s="531"/>
      <c r="O70" s="535"/>
      <c r="P70" s="536"/>
      <c r="Q70" s="537"/>
      <c r="R70" s="563"/>
      <c r="S70" s="567"/>
      <c r="T70" s="568"/>
      <c r="U70" s="568"/>
      <c r="V70" s="568"/>
      <c r="W70" s="569"/>
      <c r="X70" s="471"/>
      <c r="Y70" s="471"/>
      <c r="Z70" s="495"/>
      <c r="AA70" s="496"/>
      <c r="AB70" s="497"/>
      <c r="AC70" s="498"/>
      <c r="AD70" s="499"/>
      <c r="AE70" s="500"/>
    </row>
    <row r="71" spans="1:31" ht="11.15" customHeight="1">
      <c r="A71" s="435">
        <v>11</v>
      </c>
      <c r="B71" s="501">
        <f t="shared" ref="B71" si="1">B65+1</f>
        <v>46198</v>
      </c>
      <c r="C71" s="543" t="s">
        <v>115</v>
      </c>
      <c r="D71" s="544"/>
      <c r="E71" s="523" t="s">
        <v>351</v>
      </c>
      <c r="F71" s="524"/>
      <c r="G71" s="524"/>
      <c r="H71" s="524"/>
      <c r="I71" s="524"/>
      <c r="J71" s="524"/>
      <c r="K71" s="524"/>
      <c r="L71" s="524"/>
      <c r="M71" s="524"/>
      <c r="N71" s="525"/>
      <c r="O71" s="583" t="s">
        <v>172</v>
      </c>
      <c r="P71" s="584"/>
      <c r="Q71" s="585"/>
      <c r="R71" s="592" t="s">
        <v>62</v>
      </c>
      <c r="S71" s="461"/>
      <c r="T71" s="461"/>
      <c r="U71" s="461"/>
      <c r="V71" s="461"/>
      <c r="W71" s="462"/>
      <c r="X71" s="424"/>
      <c r="Y71" s="425"/>
      <c r="Z71" s="517" t="s">
        <v>17</v>
      </c>
      <c r="AA71" s="518"/>
      <c r="AB71" s="519"/>
      <c r="AC71" s="520">
        <v>0.27083333333333331</v>
      </c>
      <c r="AD71" s="521"/>
      <c r="AE71" s="522"/>
    </row>
    <row r="72" spans="1:31" ht="11.15" customHeight="1">
      <c r="A72" s="436"/>
      <c r="B72" s="438"/>
      <c r="C72" s="545"/>
      <c r="D72" s="546"/>
      <c r="E72" s="526"/>
      <c r="F72" s="527"/>
      <c r="G72" s="527"/>
      <c r="H72" s="527"/>
      <c r="I72" s="527"/>
      <c r="J72" s="527"/>
      <c r="K72" s="527"/>
      <c r="L72" s="527"/>
      <c r="M72" s="527"/>
      <c r="N72" s="528"/>
      <c r="O72" s="586"/>
      <c r="P72" s="587"/>
      <c r="Q72" s="588"/>
      <c r="R72" s="463"/>
      <c r="S72" s="464"/>
      <c r="T72" s="464"/>
      <c r="U72" s="464"/>
      <c r="V72" s="464"/>
      <c r="W72" s="465"/>
      <c r="X72" s="426"/>
      <c r="Y72" s="426"/>
      <c r="Z72" s="475"/>
      <c r="AA72" s="476"/>
      <c r="AB72" s="477"/>
      <c r="AC72" s="480"/>
      <c r="AD72" s="481"/>
      <c r="AE72" s="483"/>
    </row>
    <row r="73" spans="1:31" ht="11.15" customHeight="1">
      <c r="A73" s="436"/>
      <c r="B73" s="438"/>
      <c r="C73" s="545"/>
      <c r="D73" s="546"/>
      <c r="E73" s="526"/>
      <c r="F73" s="527"/>
      <c r="G73" s="527"/>
      <c r="H73" s="527"/>
      <c r="I73" s="527"/>
      <c r="J73" s="527"/>
      <c r="K73" s="527"/>
      <c r="L73" s="527"/>
      <c r="M73" s="527"/>
      <c r="N73" s="528"/>
      <c r="O73" s="586"/>
      <c r="P73" s="587"/>
      <c r="Q73" s="588"/>
      <c r="R73" s="463"/>
      <c r="S73" s="464"/>
      <c r="T73" s="464"/>
      <c r="U73" s="464"/>
      <c r="V73" s="464"/>
      <c r="W73" s="465"/>
      <c r="X73" s="427"/>
      <c r="Y73" s="427"/>
      <c r="Z73" s="475" t="s">
        <v>43</v>
      </c>
      <c r="AA73" s="476"/>
      <c r="AB73" s="477"/>
      <c r="AC73" s="542" t="s">
        <v>36</v>
      </c>
      <c r="AD73" s="481"/>
      <c r="AE73" s="483"/>
    </row>
    <row r="74" spans="1:31" ht="11.15" customHeight="1">
      <c r="A74" s="436"/>
      <c r="B74" s="438"/>
      <c r="C74" s="545"/>
      <c r="D74" s="546"/>
      <c r="E74" s="593" t="s">
        <v>79</v>
      </c>
      <c r="F74" s="594"/>
      <c r="G74" s="594"/>
      <c r="H74" s="594"/>
      <c r="I74" s="594"/>
      <c r="J74" s="594"/>
      <c r="K74" s="594"/>
      <c r="L74" s="594"/>
      <c r="M74" s="594"/>
      <c r="N74" s="595"/>
      <c r="O74" s="586"/>
      <c r="P74" s="587"/>
      <c r="Q74" s="588"/>
      <c r="R74" s="466"/>
      <c r="S74" s="467"/>
      <c r="T74" s="467"/>
      <c r="U74" s="467"/>
      <c r="V74" s="467"/>
      <c r="W74" s="468"/>
      <c r="X74" s="427"/>
      <c r="Y74" s="427"/>
      <c r="Z74" s="475"/>
      <c r="AA74" s="476"/>
      <c r="AB74" s="477"/>
      <c r="AC74" s="480"/>
      <c r="AD74" s="481"/>
      <c r="AE74" s="483"/>
    </row>
    <row r="75" spans="1:31" ht="11.15" customHeight="1">
      <c r="A75" s="436"/>
      <c r="B75" s="485" t="str">
        <f>TEXT(B71,"(aaa)")</f>
        <v>(木)</v>
      </c>
      <c r="C75" s="545"/>
      <c r="D75" s="546"/>
      <c r="E75" s="593"/>
      <c r="F75" s="594"/>
      <c r="G75" s="594"/>
      <c r="H75" s="594"/>
      <c r="I75" s="594"/>
      <c r="J75" s="594"/>
      <c r="K75" s="594"/>
      <c r="L75" s="594"/>
      <c r="M75" s="594"/>
      <c r="N75" s="595"/>
      <c r="O75" s="586"/>
      <c r="P75" s="587"/>
      <c r="Q75" s="588"/>
      <c r="R75" s="566"/>
      <c r="S75" s="489"/>
      <c r="T75" s="490"/>
      <c r="U75" s="490"/>
      <c r="V75" s="490"/>
      <c r="W75" s="491"/>
      <c r="X75" s="427"/>
      <c r="Y75" s="427"/>
      <c r="Z75" s="475" t="s">
        <v>44</v>
      </c>
      <c r="AA75" s="476"/>
      <c r="AB75" s="477"/>
      <c r="AC75" s="542" t="s">
        <v>36</v>
      </c>
      <c r="AD75" s="481"/>
      <c r="AE75" s="483"/>
    </row>
    <row r="76" spans="1:31" ht="11.15" customHeight="1">
      <c r="A76" s="437"/>
      <c r="B76" s="486"/>
      <c r="C76" s="547"/>
      <c r="D76" s="548"/>
      <c r="E76" s="596"/>
      <c r="F76" s="597"/>
      <c r="G76" s="597"/>
      <c r="H76" s="597"/>
      <c r="I76" s="597"/>
      <c r="J76" s="597"/>
      <c r="K76" s="597"/>
      <c r="L76" s="597"/>
      <c r="M76" s="597"/>
      <c r="N76" s="598"/>
      <c r="O76" s="589"/>
      <c r="P76" s="590"/>
      <c r="Q76" s="591"/>
      <c r="R76" s="494"/>
      <c r="S76" s="492"/>
      <c r="T76" s="493"/>
      <c r="U76" s="493"/>
      <c r="V76" s="493"/>
      <c r="W76" s="494"/>
      <c r="X76" s="428"/>
      <c r="Y76" s="428"/>
      <c r="Z76" s="495"/>
      <c r="AA76" s="496"/>
      <c r="AB76" s="497"/>
      <c r="AC76" s="498"/>
      <c r="AD76" s="499"/>
      <c r="AE76" s="500"/>
    </row>
    <row r="77" spans="1:31" ht="15" customHeight="1">
      <c r="A77" s="136" t="s">
        <v>47</v>
      </c>
      <c r="B77" s="12"/>
      <c r="C77" s="6"/>
      <c r="D77" s="6"/>
      <c r="E77" s="13"/>
      <c r="F77" s="13"/>
      <c r="G77" s="13"/>
      <c r="H77" s="13"/>
      <c r="I77" s="13"/>
      <c r="J77" s="13"/>
      <c r="K77" s="13"/>
      <c r="L77" s="13"/>
      <c r="M77" s="13"/>
      <c r="N77" s="13"/>
      <c r="O77" s="2"/>
      <c r="P77" s="2"/>
      <c r="Q77" s="2"/>
      <c r="R77" s="14"/>
      <c r="S77" s="15"/>
      <c r="T77" s="15"/>
      <c r="U77" s="17"/>
      <c r="V77" s="15"/>
      <c r="W77" s="15"/>
      <c r="X77" s="17"/>
      <c r="Y77" s="129"/>
      <c r="Z77" s="130"/>
      <c r="AA77" s="130"/>
      <c r="AB77" s="130"/>
      <c r="AC77" s="131"/>
      <c r="AD77" s="131"/>
      <c r="AE77" s="18"/>
    </row>
    <row r="78" spans="1:31" ht="15" customHeight="1">
      <c r="A78" s="137" t="s">
        <v>34</v>
      </c>
      <c r="B78" s="12"/>
      <c r="C78" s="6"/>
      <c r="D78" s="6"/>
      <c r="E78" s="13"/>
      <c r="F78" s="13"/>
      <c r="G78" s="13"/>
      <c r="H78" s="13"/>
      <c r="I78" s="13"/>
      <c r="J78" s="13"/>
      <c r="K78" s="13"/>
      <c r="L78" s="13"/>
      <c r="M78" s="13"/>
      <c r="N78" s="13"/>
      <c r="O78" s="2"/>
      <c r="P78" s="2"/>
      <c r="Q78" s="2"/>
      <c r="R78" s="14"/>
      <c r="S78" s="15"/>
      <c r="T78" s="15"/>
      <c r="U78" s="132"/>
      <c r="V78" s="15"/>
      <c r="W78" s="15"/>
      <c r="X78" s="17"/>
      <c r="Y78" s="129"/>
      <c r="Z78" s="133"/>
      <c r="AA78" s="130"/>
      <c r="AB78" s="130"/>
      <c r="AC78" s="131"/>
      <c r="AD78" s="131"/>
      <c r="AE78" s="18"/>
    </row>
    <row r="79" spans="1:31" ht="15" customHeight="1">
      <c r="A79" s="137" t="s">
        <v>35</v>
      </c>
      <c r="B79" s="12"/>
      <c r="C79" s="6"/>
      <c r="D79" s="6"/>
      <c r="E79" s="13"/>
      <c r="F79" s="13"/>
      <c r="G79" s="13"/>
      <c r="H79" s="13"/>
      <c r="I79" s="13"/>
      <c r="J79" s="13"/>
      <c r="K79" s="13"/>
      <c r="L79" s="13"/>
      <c r="M79" s="13"/>
      <c r="N79" s="13"/>
      <c r="O79" s="2"/>
      <c r="P79" s="2"/>
      <c r="Q79" s="2"/>
      <c r="R79" s="14"/>
      <c r="S79" s="15"/>
      <c r="T79" s="15"/>
      <c r="U79" s="121"/>
      <c r="V79" s="19"/>
      <c r="W79" s="19"/>
      <c r="X79" s="17"/>
      <c r="Y79" s="19"/>
      <c r="Z79" s="19"/>
      <c r="AA79" s="19"/>
      <c r="AB79" s="19"/>
      <c r="AC79" s="19"/>
      <c r="AD79" s="19"/>
      <c r="AE79" s="18"/>
    </row>
    <row r="80" spans="1:31" ht="15" customHeight="1">
      <c r="A80" s="16" t="s">
        <v>46</v>
      </c>
      <c r="B80" s="20"/>
      <c r="C80" s="6"/>
      <c r="D80" s="6"/>
      <c r="E80" s="13"/>
      <c r="F80" s="13"/>
      <c r="G80" s="13"/>
      <c r="H80" s="13"/>
      <c r="I80" s="13"/>
      <c r="J80" s="13"/>
      <c r="K80" s="2"/>
      <c r="L80" s="21"/>
      <c r="M80" s="13"/>
      <c r="N80" s="13"/>
      <c r="O80" s="2"/>
      <c r="P80" s="2"/>
      <c r="Q80" s="2"/>
      <c r="R80" s="14"/>
      <c r="S80" s="15"/>
      <c r="T80" s="15"/>
      <c r="U80" s="17"/>
      <c r="V80" s="15"/>
      <c r="W80" s="19"/>
      <c r="X80" s="19"/>
      <c r="Y80" s="19"/>
      <c r="Z80" s="19"/>
      <c r="AA80" s="19"/>
      <c r="AB80" s="19"/>
      <c r="AC80" s="19"/>
      <c r="AD80" s="19"/>
      <c r="AE80" s="18"/>
    </row>
    <row r="81" spans="1:31" ht="15" customHeight="1">
      <c r="A81" s="22"/>
      <c r="B81" s="110" t="s">
        <v>133</v>
      </c>
      <c r="C81" s="8"/>
      <c r="D81" s="23"/>
      <c r="E81" s="23"/>
      <c r="F81" s="24"/>
      <c r="G81" s="111"/>
      <c r="H81" s="111"/>
      <c r="I81" s="111"/>
      <c r="J81" s="119" t="s">
        <v>135</v>
      </c>
      <c r="K81" s="2"/>
      <c r="L81" s="112"/>
      <c r="M81" s="113"/>
      <c r="N81" s="110"/>
      <c r="O81" s="2"/>
      <c r="P81" s="110"/>
      <c r="Q81" s="24" t="s">
        <v>134</v>
      </c>
      <c r="R81" s="15"/>
      <c r="S81" s="15"/>
      <c r="T81" s="15"/>
      <c r="U81" s="15"/>
      <c r="V81" s="26"/>
      <c r="W81" s="19"/>
      <c r="X81" s="19"/>
      <c r="Y81" s="19"/>
      <c r="Z81" s="19"/>
      <c r="AA81" s="27"/>
      <c r="AB81" s="14"/>
      <c r="AC81" s="15"/>
      <c r="AD81" s="15"/>
      <c r="AE81" s="107"/>
    </row>
    <row r="82" spans="1:31" ht="15" customHeight="1">
      <c r="A82" s="126"/>
      <c r="B82" s="109"/>
      <c r="C82" s="27"/>
      <c r="D82" s="6"/>
      <c r="E82" s="13"/>
      <c r="F82" s="13"/>
      <c r="G82" s="13"/>
      <c r="H82" s="21"/>
      <c r="I82" s="21"/>
      <c r="J82" s="128"/>
      <c r="K82" s="13"/>
      <c r="L82" s="13"/>
      <c r="M82" s="13"/>
      <c r="N82" s="13"/>
      <c r="O82" s="2"/>
      <c r="P82" s="27"/>
      <c r="Q82" s="27"/>
      <c r="R82" s="27"/>
      <c r="S82" s="14"/>
      <c r="T82" s="15"/>
      <c r="U82" s="120"/>
      <c r="V82" s="30"/>
      <c r="W82" s="120" t="s">
        <v>149</v>
      </c>
      <c r="X82" s="30"/>
      <c r="Z82" s="30"/>
      <c r="AA82" s="27"/>
      <c r="AB82" s="14"/>
      <c r="AC82" s="15"/>
      <c r="AD82" s="15"/>
      <c r="AE82" s="107"/>
    </row>
    <row r="83" spans="1:31" ht="15" customHeight="1">
      <c r="A83" s="127"/>
      <c r="B83" s="31"/>
      <c r="C83" s="19"/>
      <c r="D83" s="19"/>
      <c r="E83" s="19"/>
      <c r="F83" s="19"/>
      <c r="G83" s="19"/>
      <c r="H83" s="19"/>
      <c r="I83" s="19"/>
      <c r="J83" s="25"/>
      <c r="K83" s="25"/>
      <c r="L83" s="25"/>
      <c r="M83" s="25"/>
      <c r="N83" s="25"/>
      <c r="O83" s="28"/>
      <c r="P83" s="28"/>
      <c r="Q83" s="28"/>
      <c r="R83" s="29"/>
      <c r="S83" s="15"/>
      <c r="T83" s="15"/>
      <c r="U83" s="120"/>
      <c r="V83" s="19"/>
      <c r="W83" s="120" t="s">
        <v>150</v>
      </c>
      <c r="X83" s="19"/>
      <c r="Z83" s="19"/>
      <c r="AA83" s="19"/>
      <c r="AB83" s="19"/>
      <c r="AC83" s="19"/>
      <c r="AD83" s="19"/>
      <c r="AE83" s="32"/>
    </row>
    <row r="84" spans="1:31" ht="15" customHeight="1">
      <c r="A84" s="137" t="s">
        <v>174</v>
      </c>
      <c r="B84" s="31"/>
      <c r="C84" s="19"/>
      <c r="D84" s="19"/>
      <c r="E84" s="19"/>
      <c r="F84" s="19"/>
      <c r="G84" s="19"/>
      <c r="H84" s="19"/>
      <c r="I84" s="19"/>
      <c r="J84" s="25"/>
      <c r="K84" s="25"/>
      <c r="L84" s="25"/>
      <c r="M84" s="25"/>
      <c r="N84" s="25"/>
      <c r="O84" s="28"/>
      <c r="P84" s="28"/>
      <c r="Q84" s="28"/>
      <c r="R84" s="29"/>
      <c r="S84" s="15"/>
      <c r="T84" s="15"/>
      <c r="U84" s="17"/>
      <c r="V84" s="15"/>
      <c r="W84" s="116"/>
      <c r="X84" s="19"/>
      <c r="Y84" s="19"/>
      <c r="Z84" s="19"/>
      <c r="AA84" s="19"/>
      <c r="AB84" s="19"/>
      <c r="AC84" s="19"/>
      <c r="AD84" s="19"/>
      <c r="AE84" s="32"/>
    </row>
    <row r="85" spans="1:31" ht="15" customHeight="1">
      <c r="A85" s="138" t="s">
        <v>355</v>
      </c>
      <c r="B85" s="33"/>
      <c r="C85" s="7"/>
      <c r="D85" s="7"/>
      <c r="E85" s="7"/>
      <c r="F85" s="7"/>
      <c r="G85" s="7"/>
      <c r="H85" s="7"/>
      <c r="I85" s="7"/>
      <c r="J85" s="10"/>
      <c r="K85" s="10"/>
      <c r="L85" s="10"/>
      <c r="M85" s="10"/>
      <c r="N85" s="10"/>
      <c r="O85" s="9"/>
      <c r="P85" s="9"/>
      <c r="Q85" s="9"/>
      <c r="R85" s="34"/>
      <c r="S85" s="35"/>
      <c r="T85" s="35"/>
      <c r="U85" s="36"/>
      <c r="V85" s="35"/>
      <c r="W85" s="7"/>
      <c r="X85" s="7"/>
      <c r="Y85" s="7"/>
      <c r="Z85" s="7"/>
      <c r="AA85" s="7"/>
      <c r="AB85" s="7"/>
      <c r="AC85" s="7"/>
      <c r="AD85" s="7"/>
      <c r="AE85" s="1" t="s">
        <v>20</v>
      </c>
    </row>
  </sheetData>
  <mergeCells count="231">
    <mergeCell ref="X71:Y76"/>
    <mergeCell ref="Z71:AB72"/>
    <mergeCell ref="AC71:AD72"/>
    <mergeCell ref="AE71:AE72"/>
    <mergeCell ref="Z73:AB74"/>
    <mergeCell ref="AC73:AD74"/>
    <mergeCell ref="AE73:AE74"/>
    <mergeCell ref="Z75:AB76"/>
    <mergeCell ref="AC75:AD76"/>
    <mergeCell ref="AE75:AE76"/>
    <mergeCell ref="A71:A76"/>
    <mergeCell ref="B71:B74"/>
    <mergeCell ref="C71:D76"/>
    <mergeCell ref="E71:N73"/>
    <mergeCell ref="O71:Q76"/>
    <mergeCell ref="R71:W74"/>
    <mergeCell ref="E74:N76"/>
    <mergeCell ref="B75:B76"/>
    <mergeCell ref="R75:R76"/>
    <mergeCell ref="S75:W76"/>
    <mergeCell ref="X65:Y70"/>
    <mergeCell ref="Z65:AB66"/>
    <mergeCell ref="AC65:AD66"/>
    <mergeCell ref="AE65:AE66"/>
    <mergeCell ref="Z67:AB68"/>
    <mergeCell ref="AC67:AD68"/>
    <mergeCell ref="AE67:AE68"/>
    <mergeCell ref="Z69:AB70"/>
    <mergeCell ref="AC69:AD70"/>
    <mergeCell ref="AE69:AE70"/>
    <mergeCell ref="A65:A70"/>
    <mergeCell ref="B65:B68"/>
    <mergeCell ref="C65:D70"/>
    <mergeCell ref="E65:N70"/>
    <mergeCell ref="O65:Q70"/>
    <mergeCell ref="R65:W68"/>
    <mergeCell ref="B69:B70"/>
    <mergeCell ref="R69:R70"/>
    <mergeCell ref="S69:W70"/>
    <mergeCell ref="X59:Y64"/>
    <mergeCell ref="Z59:AB60"/>
    <mergeCell ref="AC59:AD60"/>
    <mergeCell ref="AE59:AE60"/>
    <mergeCell ref="Z61:AB62"/>
    <mergeCell ref="AC61:AD62"/>
    <mergeCell ref="AE61:AE62"/>
    <mergeCell ref="Z63:AB64"/>
    <mergeCell ref="AC63:AD64"/>
    <mergeCell ref="AE63:AE64"/>
    <mergeCell ref="A59:A64"/>
    <mergeCell ref="B59:B62"/>
    <mergeCell ref="C59:D64"/>
    <mergeCell ref="E59:N64"/>
    <mergeCell ref="O59:Q64"/>
    <mergeCell ref="R59:W62"/>
    <mergeCell ref="B63:B64"/>
    <mergeCell ref="R63:R64"/>
    <mergeCell ref="S63:W64"/>
    <mergeCell ref="X53:Y58"/>
    <mergeCell ref="Z53:AB54"/>
    <mergeCell ref="AC53:AD54"/>
    <mergeCell ref="AE53:AE54"/>
    <mergeCell ref="Z55:AB56"/>
    <mergeCell ref="AC55:AD56"/>
    <mergeCell ref="AE55:AE56"/>
    <mergeCell ref="Z57:AB58"/>
    <mergeCell ref="AC57:AD58"/>
    <mergeCell ref="AE57:AE58"/>
    <mergeCell ref="A53:A58"/>
    <mergeCell ref="B53:B56"/>
    <mergeCell ref="C53:D58"/>
    <mergeCell ref="E53:N58"/>
    <mergeCell ref="O53:Q58"/>
    <mergeCell ref="R53:W56"/>
    <mergeCell ref="B57:B58"/>
    <mergeCell ref="R57:R58"/>
    <mergeCell ref="S57:W58"/>
    <mergeCell ref="X47:Y52"/>
    <mergeCell ref="Z47:AB48"/>
    <mergeCell ref="AC47:AD48"/>
    <mergeCell ref="AE47:AE48"/>
    <mergeCell ref="Z49:AB50"/>
    <mergeCell ref="AC49:AD50"/>
    <mergeCell ref="AE49:AE50"/>
    <mergeCell ref="Z51:AB52"/>
    <mergeCell ref="AC51:AD52"/>
    <mergeCell ref="AE51:AE52"/>
    <mergeCell ref="A47:A52"/>
    <mergeCell ref="B47:B50"/>
    <mergeCell ref="C47:D52"/>
    <mergeCell ref="E47:N52"/>
    <mergeCell ref="O47:Q52"/>
    <mergeCell ref="R47:W50"/>
    <mergeCell ref="B51:B52"/>
    <mergeCell ref="R51:R52"/>
    <mergeCell ref="S51:W52"/>
    <mergeCell ref="X41:Y46"/>
    <mergeCell ref="Z41:AB42"/>
    <mergeCell ref="AC41:AD42"/>
    <mergeCell ref="AE41:AE42"/>
    <mergeCell ref="Z43:AB44"/>
    <mergeCell ref="AC43:AD44"/>
    <mergeCell ref="AE43:AE44"/>
    <mergeCell ref="Z45:AB46"/>
    <mergeCell ref="AC45:AD46"/>
    <mergeCell ref="AE45:AE46"/>
    <mergeCell ref="A41:A46"/>
    <mergeCell ref="B41:B44"/>
    <mergeCell ref="C41:D46"/>
    <mergeCell ref="E41:N46"/>
    <mergeCell ref="O41:Q46"/>
    <mergeCell ref="R41:W44"/>
    <mergeCell ref="B45:B46"/>
    <mergeCell ref="R45:R46"/>
    <mergeCell ref="S45:W46"/>
    <mergeCell ref="X35:Y40"/>
    <mergeCell ref="Z35:AB36"/>
    <mergeCell ref="AC35:AD36"/>
    <mergeCell ref="AE35:AE36"/>
    <mergeCell ref="Z37:AB38"/>
    <mergeCell ref="AC37:AD38"/>
    <mergeCell ref="AE37:AE38"/>
    <mergeCell ref="Z39:AB40"/>
    <mergeCell ref="AC39:AD40"/>
    <mergeCell ref="AE39:AE40"/>
    <mergeCell ref="A35:A40"/>
    <mergeCell ref="B35:B38"/>
    <mergeCell ref="C35:D40"/>
    <mergeCell ref="E35:N40"/>
    <mergeCell ref="O35:Q40"/>
    <mergeCell ref="R35:W38"/>
    <mergeCell ref="B39:B40"/>
    <mergeCell ref="R39:R40"/>
    <mergeCell ref="S39:W40"/>
    <mergeCell ref="X29:Y34"/>
    <mergeCell ref="Z29:AB30"/>
    <mergeCell ref="AC29:AD30"/>
    <mergeCell ref="AE29:AE30"/>
    <mergeCell ref="Z31:AB32"/>
    <mergeCell ref="AC31:AD32"/>
    <mergeCell ref="AE31:AE32"/>
    <mergeCell ref="Z33:AB34"/>
    <mergeCell ref="AC33:AD34"/>
    <mergeCell ref="AE33:AE34"/>
    <mergeCell ref="A29:A34"/>
    <mergeCell ref="B29:B32"/>
    <mergeCell ref="C29:D34"/>
    <mergeCell ref="E29:N34"/>
    <mergeCell ref="O29:Q34"/>
    <mergeCell ref="R29:W32"/>
    <mergeCell ref="B33:B34"/>
    <mergeCell ref="R33:R34"/>
    <mergeCell ref="S33:W34"/>
    <mergeCell ref="X23:Y28"/>
    <mergeCell ref="Z23:AB24"/>
    <mergeCell ref="AC23:AD24"/>
    <mergeCell ref="AE23:AE24"/>
    <mergeCell ref="Z25:AB26"/>
    <mergeCell ref="AC25:AD26"/>
    <mergeCell ref="AE25:AE26"/>
    <mergeCell ref="Z27:AB28"/>
    <mergeCell ref="AC27:AD28"/>
    <mergeCell ref="AE27:AE28"/>
    <mergeCell ref="A23:A28"/>
    <mergeCell ref="B23:B26"/>
    <mergeCell ref="C23:D28"/>
    <mergeCell ref="E23:N28"/>
    <mergeCell ref="O23:Q28"/>
    <mergeCell ref="R23:W26"/>
    <mergeCell ref="B27:B28"/>
    <mergeCell ref="R27:R28"/>
    <mergeCell ref="S27:W28"/>
    <mergeCell ref="AE15:AE16"/>
    <mergeCell ref="A17:A22"/>
    <mergeCell ref="B17:B20"/>
    <mergeCell ref="C17:D22"/>
    <mergeCell ref="E17:N22"/>
    <mergeCell ref="O17:Q22"/>
    <mergeCell ref="R17:W20"/>
    <mergeCell ref="B21:B22"/>
    <mergeCell ref="R21:R22"/>
    <mergeCell ref="S21:W22"/>
    <mergeCell ref="X17:Y22"/>
    <mergeCell ref="Z17:AB18"/>
    <mergeCell ref="AC17:AD18"/>
    <mergeCell ref="AE17:AE18"/>
    <mergeCell ref="Z19:AB20"/>
    <mergeCell ref="AC19:AD20"/>
    <mergeCell ref="AE19:AE20"/>
    <mergeCell ref="Z21:AB22"/>
    <mergeCell ref="AC21:AD22"/>
    <mergeCell ref="AE21:AE22"/>
    <mergeCell ref="A10:B10"/>
    <mergeCell ref="C10:D10"/>
    <mergeCell ref="E10:N10"/>
    <mergeCell ref="O10:Q10"/>
    <mergeCell ref="R10:Y10"/>
    <mergeCell ref="Z10:AE10"/>
    <mergeCell ref="A11:A16"/>
    <mergeCell ref="B11:B14"/>
    <mergeCell ref="C11:D16"/>
    <mergeCell ref="E11:N16"/>
    <mergeCell ref="O11:Q16"/>
    <mergeCell ref="R11:W14"/>
    <mergeCell ref="X11:Y16"/>
    <mergeCell ref="Z11:AB12"/>
    <mergeCell ref="AC11:AD12"/>
    <mergeCell ref="AE11:AE12"/>
    <mergeCell ref="Z13:AB14"/>
    <mergeCell ref="AC13:AD14"/>
    <mergeCell ref="AE13:AE14"/>
    <mergeCell ref="B15:B16"/>
    <mergeCell ref="R15:R16"/>
    <mergeCell ref="S15:W16"/>
    <mergeCell ref="Z15:AB16"/>
    <mergeCell ref="AC15:AD16"/>
    <mergeCell ref="A1:F1"/>
    <mergeCell ref="G1:N1"/>
    <mergeCell ref="O1:Q1"/>
    <mergeCell ref="R1:Y1"/>
    <mergeCell ref="Z1:AE1"/>
    <mergeCell ref="A2:F9"/>
    <mergeCell ref="G2:N4"/>
    <mergeCell ref="O2:Q9"/>
    <mergeCell ref="R2:R5"/>
    <mergeCell ref="S2:Y5"/>
    <mergeCell ref="Z2:AE6"/>
    <mergeCell ref="G5:N9"/>
    <mergeCell ref="R6:R9"/>
    <mergeCell ref="S6:Y9"/>
    <mergeCell ref="Z7:AE9"/>
  </mergeCells>
  <phoneticPr fontId="3"/>
  <pageMargins left="0.19685039370078741" right="0" top="0.19685039370078741" bottom="0" header="0" footer="0"/>
  <pageSetup paperSize="9" scale="58" orientation="landscape" r:id="rId1"/>
  <headerFooter>
    <oddFooter>&amp;R&amp;D&amp;T</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59013-0C89-49ED-9EFF-71CA1FB3FB56}">
  <sheetPr>
    <pageSetUpPr fitToPage="1"/>
  </sheetPr>
  <dimension ref="A1:AE85"/>
  <sheetViews>
    <sheetView zoomScale="75" zoomScaleNormal="75" workbookViewId="0">
      <selection activeCell="AE85" sqref="A1:AE85"/>
    </sheetView>
  </sheetViews>
  <sheetFormatPr defaultRowHeight="18"/>
  <cols>
    <col min="1" max="1" width="3.4140625" customWidth="1"/>
    <col min="2" max="2" width="8.4140625" customWidth="1"/>
    <col min="3" max="3" width="6.4140625" customWidth="1"/>
    <col min="4" max="4" width="2.4140625" customWidth="1"/>
    <col min="5" max="6" width="6.4140625" customWidth="1"/>
    <col min="7" max="17" width="5.4140625" customWidth="1"/>
    <col min="18" max="18" width="6.4140625" customWidth="1"/>
    <col min="19" max="23" width="5.4140625" customWidth="1"/>
    <col min="24" max="25" width="6.4140625" customWidth="1"/>
    <col min="26" max="28" width="7.4140625" customWidth="1"/>
    <col min="29" max="30" width="3.4140625" customWidth="1"/>
    <col min="31" max="31" width="21.4140625" customWidth="1"/>
  </cols>
  <sheetData>
    <row r="1" spans="1:31" ht="18" customHeight="1">
      <c r="A1" s="139" t="s">
        <v>0</v>
      </c>
      <c r="B1" s="140"/>
      <c r="C1" s="140"/>
      <c r="D1" s="140"/>
      <c r="E1" s="140"/>
      <c r="F1" s="141"/>
      <c r="G1" s="142" t="s">
        <v>1</v>
      </c>
      <c r="H1" s="140"/>
      <c r="I1" s="140"/>
      <c r="J1" s="140"/>
      <c r="K1" s="140"/>
      <c r="L1" s="140"/>
      <c r="M1" s="140"/>
      <c r="N1" s="140"/>
      <c r="O1" s="139" t="s">
        <v>2</v>
      </c>
      <c r="P1" s="140"/>
      <c r="Q1" s="141"/>
      <c r="R1" s="143" t="s">
        <v>3</v>
      </c>
      <c r="S1" s="143"/>
      <c r="T1" s="143"/>
      <c r="U1" s="143"/>
      <c r="V1" s="143"/>
      <c r="W1" s="143"/>
      <c r="X1" s="143"/>
      <c r="Y1" s="143"/>
      <c r="Z1" s="143" t="s">
        <v>4</v>
      </c>
      <c r="AA1" s="143"/>
      <c r="AB1" s="143"/>
      <c r="AC1" s="143"/>
      <c r="AD1" s="143"/>
      <c r="AE1" s="143"/>
    </row>
    <row r="2" spans="1:31" ht="8.15" customHeight="1">
      <c r="A2" s="144" t="s">
        <v>154</v>
      </c>
      <c r="B2" s="145"/>
      <c r="C2" s="145"/>
      <c r="D2" s="145"/>
      <c r="E2" s="145"/>
      <c r="F2" s="146"/>
      <c r="G2" s="147" t="s">
        <v>5</v>
      </c>
      <c r="H2" s="148"/>
      <c r="I2" s="148"/>
      <c r="J2" s="148"/>
      <c r="K2" s="148"/>
      <c r="L2" s="148"/>
      <c r="M2" s="148"/>
      <c r="N2" s="149"/>
      <c r="O2" s="153" t="s">
        <v>168</v>
      </c>
      <c r="P2" s="154"/>
      <c r="Q2" s="155"/>
      <c r="R2" s="162" t="s">
        <v>6</v>
      </c>
      <c r="S2" s="165" t="s">
        <v>157</v>
      </c>
      <c r="T2" s="166"/>
      <c r="U2" s="166"/>
      <c r="V2" s="166"/>
      <c r="W2" s="166"/>
      <c r="X2" s="166"/>
      <c r="Y2" s="167"/>
      <c r="Z2" s="184" t="s">
        <v>162</v>
      </c>
      <c r="AA2" s="185"/>
      <c r="AB2" s="185"/>
      <c r="AC2" s="185"/>
      <c r="AD2" s="185"/>
      <c r="AE2" s="186"/>
    </row>
    <row r="3" spans="1:31" ht="8.15" customHeight="1">
      <c r="A3" s="144"/>
      <c r="B3" s="145"/>
      <c r="C3" s="145"/>
      <c r="D3" s="145"/>
      <c r="E3" s="145"/>
      <c r="F3" s="146"/>
      <c r="G3" s="150"/>
      <c r="H3" s="151"/>
      <c r="I3" s="151"/>
      <c r="J3" s="151"/>
      <c r="K3" s="151"/>
      <c r="L3" s="151"/>
      <c r="M3" s="151"/>
      <c r="N3" s="152"/>
      <c r="O3" s="156"/>
      <c r="P3" s="157"/>
      <c r="Q3" s="158"/>
      <c r="R3" s="163"/>
      <c r="S3" s="168"/>
      <c r="T3" s="168"/>
      <c r="U3" s="168"/>
      <c r="V3" s="168"/>
      <c r="W3" s="168"/>
      <c r="X3" s="168"/>
      <c r="Y3" s="169"/>
      <c r="Z3" s="187"/>
      <c r="AA3" s="188"/>
      <c r="AB3" s="188"/>
      <c r="AC3" s="188"/>
      <c r="AD3" s="188"/>
      <c r="AE3" s="189"/>
    </row>
    <row r="4" spans="1:31" ht="8.15" customHeight="1">
      <c r="A4" s="144"/>
      <c r="B4" s="145"/>
      <c r="C4" s="145"/>
      <c r="D4" s="145"/>
      <c r="E4" s="145"/>
      <c r="F4" s="146"/>
      <c r="G4" s="150"/>
      <c r="H4" s="151"/>
      <c r="I4" s="151"/>
      <c r="J4" s="151"/>
      <c r="K4" s="151"/>
      <c r="L4" s="151"/>
      <c r="M4" s="151"/>
      <c r="N4" s="152"/>
      <c r="O4" s="156"/>
      <c r="P4" s="157"/>
      <c r="Q4" s="158"/>
      <c r="R4" s="163"/>
      <c r="S4" s="168"/>
      <c r="T4" s="168"/>
      <c r="U4" s="168"/>
      <c r="V4" s="168"/>
      <c r="W4" s="168"/>
      <c r="X4" s="168"/>
      <c r="Y4" s="169"/>
      <c r="Z4" s="187"/>
      <c r="AA4" s="188"/>
      <c r="AB4" s="188"/>
      <c r="AC4" s="188"/>
      <c r="AD4" s="188"/>
      <c r="AE4" s="189"/>
    </row>
    <row r="5" spans="1:31" ht="8.15" customHeight="1">
      <c r="A5" s="144"/>
      <c r="B5" s="145"/>
      <c r="C5" s="145"/>
      <c r="D5" s="145"/>
      <c r="E5" s="145"/>
      <c r="F5" s="146"/>
      <c r="G5" s="193" t="s">
        <v>7</v>
      </c>
      <c r="H5" s="194"/>
      <c r="I5" s="194"/>
      <c r="J5" s="194"/>
      <c r="K5" s="194"/>
      <c r="L5" s="194"/>
      <c r="M5" s="194"/>
      <c r="N5" s="195"/>
      <c r="O5" s="156"/>
      <c r="P5" s="157"/>
      <c r="Q5" s="158"/>
      <c r="R5" s="164"/>
      <c r="S5" s="170"/>
      <c r="T5" s="170"/>
      <c r="U5" s="170"/>
      <c r="V5" s="170"/>
      <c r="W5" s="170"/>
      <c r="X5" s="170"/>
      <c r="Y5" s="171"/>
      <c r="Z5" s="187"/>
      <c r="AA5" s="188"/>
      <c r="AB5" s="188"/>
      <c r="AC5" s="188"/>
      <c r="AD5" s="188"/>
      <c r="AE5" s="189"/>
    </row>
    <row r="6" spans="1:31" ht="8.15" customHeight="1">
      <c r="A6" s="144"/>
      <c r="B6" s="145"/>
      <c r="C6" s="145"/>
      <c r="D6" s="145"/>
      <c r="E6" s="145"/>
      <c r="F6" s="146"/>
      <c r="G6" s="193"/>
      <c r="H6" s="194"/>
      <c r="I6" s="194"/>
      <c r="J6" s="194"/>
      <c r="K6" s="194"/>
      <c r="L6" s="194"/>
      <c r="M6" s="194"/>
      <c r="N6" s="195"/>
      <c r="O6" s="156"/>
      <c r="P6" s="157"/>
      <c r="Q6" s="158"/>
      <c r="R6" s="162" t="s">
        <v>8</v>
      </c>
      <c r="S6" s="165" t="s">
        <v>158</v>
      </c>
      <c r="T6" s="166"/>
      <c r="U6" s="166"/>
      <c r="V6" s="166"/>
      <c r="W6" s="166"/>
      <c r="X6" s="166"/>
      <c r="Y6" s="167"/>
      <c r="Z6" s="190"/>
      <c r="AA6" s="191"/>
      <c r="AB6" s="191"/>
      <c r="AC6" s="191"/>
      <c r="AD6" s="191"/>
      <c r="AE6" s="192"/>
    </row>
    <row r="7" spans="1:31" ht="8.15" customHeight="1">
      <c r="A7" s="144"/>
      <c r="B7" s="145"/>
      <c r="C7" s="145"/>
      <c r="D7" s="145"/>
      <c r="E7" s="145"/>
      <c r="F7" s="146"/>
      <c r="G7" s="193"/>
      <c r="H7" s="194"/>
      <c r="I7" s="194"/>
      <c r="J7" s="194"/>
      <c r="K7" s="194"/>
      <c r="L7" s="194"/>
      <c r="M7" s="194"/>
      <c r="N7" s="195"/>
      <c r="O7" s="156"/>
      <c r="P7" s="157"/>
      <c r="Q7" s="158"/>
      <c r="R7" s="163"/>
      <c r="S7" s="168"/>
      <c r="T7" s="168"/>
      <c r="U7" s="168"/>
      <c r="V7" s="168"/>
      <c r="W7" s="168"/>
      <c r="X7" s="168"/>
      <c r="Y7" s="169"/>
      <c r="Z7" s="199" t="s">
        <v>163</v>
      </c>
      <c r="AA7" s="200"/>
      <c r="AB7" s="200"/>
      <c r="AC7" s="200"/>
      <c r="AD7" s="200"/>
      <c r="AE7" s="201"/>
    </row>
    <row r="8" spans="1:31" ht="8.15" customHeight="1">
      <c r="A8" s="144"/>
      <c r="B8" s="145"/>
      <c r="C8" s="145"/>
      <c r="D8" s="145"/>
      <c r="E8" s="145"/>
      <c r="F8" s="146"/>
      <c r="G8" s="193"/>
      <c r="H8" s="194"/>
      <c r="I8" s="194"/>
      <c r="J8" s="194"/>
      <c r="K8" s="194"/>
      <c r="L8" s="194"/>
      <c r="M8" s="194"/>
      <c r="N8" s="195"/>
      <c r="O8" s="156"/>
      <c r="P8" s="157"/>
      <c r="Q8" s="158"/>
      <c r="R8" s="163"/>
      <c r="S8" s="168"/>
      <c r="T8" s="168"/>
      <c r="U8" s="168"/>
      <c r="V8" s="168"/>
      <c r="W8" s="168"/>
      <c r="X8" s="168"/>
      <c r="Y8" s="169"/>
      <c r="Z8" s="187"/>
      <c r="AA8" s="188"/>
      <c r="AB8" s="188"/>
      <c r="AC8" s="188"/>
      <c r="AD8" s="188"/>
      <c r="AE8" s="189"/>
    </row>
    <row r="9" spans="1:31" ht="8.15" customHeight="1">
      <c r="A9" s="144"/>
      <c r="B9" s="145"/>
      <c r="C9" s="145"/>
      <c r="D9" s="145"/>
      <c r="E9" s="145"/>
      <c r="F9" s="146"/>
      <c r="G9" s="196"/>
      <c r="H9" s="197"/>
      <c r="I9" s="197"/>
      <c r="J9" s="197"/>
      <c r="K9" s="197"/>
      <c r="L9" s="197"/>
      <c r="M9" s="197"/>
      <c r="N9" s="198"/>
      <c r="O9" s="159"/>
      <c r="P9" s="160"/>
      <c r="Q9" s="161"/>
      <c r="R9" s="164"/>
      <c r="S9" s="170"/>
      <c r="T9" s="170"/>
      <c r="U9" s="170"/>
      <c r="V9" s="170"/>
      <c r="W9" s="170"/>
      <c r="X9" s="170"/>
      <c r="Y9" s="171"/>
      <c r="Z9" s="202"/>
      <c r="AA9" s="203"/>
      <c r="AB9" s="203"/>
      <c r="AC9" s="203"/>
      <c r="AD9" s="203"/>
      <c r="AE9" s="204"/>
    </row>
    <row r="10" spans="1:31">
      <c r="A10" s="174" t="s">
        <v>9</v>
      </c>
      <c r="B10" s="175"/>
      <c r="C10" s="176" t="s">
        <v>10</v>
      </c>
      <c r="D10" s="176"/>
      <c r="E10" s="177" t="s">
        <v>11</v>
      </c>
      <c r="F10" s="177"/>
      <c r="G10" s="178"/>
      <c r="H10" s="178"/>
      <c r="I10" s="178"/>
      <c r="J10" s="178"/>
      <c r="K10" s="178"/>
      <c r="L10" s="178"/>
      <c r="M10" s="178"/>
      <c r="N10" s="179"/>
      <c r="O10" s="180" t="s">
        <v>12</v>
      </c>
      <c r="P10" s="181"/>
      <c r="Q10" s="182"/>
      <c r="R10" s="183" t="s">
        <v>13</v>
      </c>
      <c r="S10" s="183"/>
      <c r="T10" s="183"/>
      <c r="U10" s="183"/>
      <c r="V10" s="183"/>
      <c r="W10" s="183"/>
      <c r="X10" s="183"/>
      <c r="Y10" s="175"/>
      <c r="Z10" s="143" t="s">
        <v>14</v>
      </c>
      <c r="AA10" s="143"/>
      <c r="AB10" s="143"/>
      <c r="AC10" s="143"/>
      <c r="AD10" s="143"/>
      <c r="AE10" s="143"/>
    </row>
    <row r="11" spans="1:31" ht="11.15" customHeight="1">
      <c r="A11" s="435">
        <v>1</v>
      </c>
      <c r="B11" s="438">
        <v>46188</v>
      </c>
      <c r="C11" s="439" t="s">
        <v>115</v>
      </c>
      <c r="D11" s="439"/>
      <c r="E11" s="442" t="s">
        <v>335</v>
      </c>
      <c r="F11" s="443"/>
      <c r="G11" s="443"/>
      <c r="H11" s="443"/>
      <c r="I11" s="443"/>
      <c r="J11" s="443"/>
      <c r="K11" s="443"/>
      <c r="L11" s="443"/>
      <c r="M11" s="443"/>
      <c r="N11" s="444"/>
      <c r="O11" s="451" t="s">
        <v>336</v>
      </c>
      <c r="P11" s="452"/>
      <c r="Q11" s="453"/>
      <c r="R11" s="460" t="s">
        <v>155</v>
      </c>
      <c r="S11" s="461"/>
      <c r="T11" s="461"/>
      <c r="U11" s="461"/>
      <c r="V11" s="461"/>
      <c r="W11" s="462"/>
      <c r="X11" s="469" t="s">
        <v>161</v>
      </c>
      <c r="Y11" s="469"/>
      <c r="Z11" s="472" t="s">
        <v>15</v>
      </c>
      <c r="AA11" s="473"/>
      <c r="AB11" s="474"/>
      <c r="AC11" s="478" t="s">
        <v>36</v>
      </c>
      <c r="AD11" s="479"/>
      <c r="AE11" s="482"/>
    </row>
    <row r="12" spans="1:31" ht="11.15" customHeight="1">
      <c r="A12" s="436"/>
      <c r="B12" s="438"/>
      <c r="C12" s="440"/>
      <c r="D12" s="440"/>
      <c r="E12" s="445"/>
      <c r="F12" s="446"/>
      <c r="G12" s="446"/>
      <c r="H12" s="446"/>
      <c r="I12" s="446"/>
      <c r="J12" s="446"/>
      <c r="K12" s="446"/>
      <c r="L12" s="446"/>
      <c r="M12" s="446"/>
      <c r="N12" s="447"/>
      <c r="O12" s="454"/>
      <c r="P12" s="455"/>
      <c r="Q12" s="456"/>
      <c r="R12" s="463"/>
      <c r="S12" s="464"/>
      <c r="T12" s="464"/>
      <c r="U12" s="464"/>
      <c r="V12" s="464"/>
      <c r="W12" s="465"/>
      <c r="X12" s="470"/>
      <c r="Y12" s="470"/>
      <c r="Z12" s="475"/>
      <c r="AA12" s="476"/>
      <c r="AB12" s="477"/>
      <c r="AC12" s="480"/>
      <c r="AD12" s="481"/>
      <c r="AE12" s="483"/>
    </row>
    <row r="13" spans="1:31" ht="11.15" customHeight="1">
      <c r="A13" s="436"/>
      <c r="B13" s="438"/>
      <c r="C13" s="440"/>
      <c r="D13" s="440"/>
      <c r="E13" s="445"/>
      <c r="F13" s="446"/>
      <c r="G13" s="446"/>
      <c r="H13" s="446"/>
      <c r="I13" s="446"/>
      <c r="J13" s="446"/>
      <c r="K13" s="446"/>
      <c r="L13" s="446"/>
      <c r="M13" s="446"/>
      <c r="N13" s="447"/>
      <c r="O13" s="454"/>
      <c r="P13" s="455"/>
      <c r="Q13" s="456"/>
      <c r="R13" s="463"/>
      <c r="S13" s="464"/>
      <c r="T13" s="464"/>
      <c r="U13" s="464"/>
      <c r="V13" s="464"/>
      <c r="W13" s="465"/>
      <c r="X13" s="470"/>
      <c r="Y13" s="470"/>
      <c r="Z13" s="475" t="s">
        <v>28</v>
      </c>
      <c r="AA13" s="476"/>
      <c r="AB13" s="477"/>
      <c r="AC13" s="484">
        <v>0.47916666666666669</v>
      </c>
      <c r="AD13" s="481"/>
      <c r="AE13" s="483" t="s">
        <v>27</v>
      </c>
    </row>
    <row r="14" spans="1:31" ht="11.15" customHeight="1">
      <c r="A14" s="436"/>
      <c r="B14" s="438"/>
      <c r="C14" s="440"/>
      <c r="D14" s="440"/>
      <c r="E14" s="445"/>
      <c r="F14" s="446"/>
      <c r="G14" s="446"/>
      <c r="H14" s="446"/>
      <c r="I14" s="446"/>
      <c r="J14" s="446"/>
      <c r="K14" s="446"/>
      <c r="L14" s="446"/>
      <c r="M14" s="446"/>
      <c r="N14" s="447"/>
      <c r="O14" s="454"/>
      <c r="P14" s="455"/>
      <c r="Q14" s="456"/>
      <c r="R14" s="466"/>
      <c r="S14" s="467"/>
      <c r="T14" s="467"/>
      <c r="U14" s="467"/>
      <c r="V14" s="467"/>
      <c r="W14" s="468"/>
      <c r="X14" s="470"/>
      <c r="Y14" s="470"/>
      <c r="Z14" s="475"/>
      <c r="AA14" s="476"/>
      <c r="AB14" s="477"/>
      <c r="AC14" s="480"/>
      <c r="AD14" s="481"/>
      <c r="AE14" s="483"/>
    </row>
    <row r="15" spans="1:31" ht="11.15" customHeight="1">
      <c r="A15" s="436"/>
      <c r="B15" s="485" t="str">
        <f>TEXT(B11,"(aaa)")</f>
        <v>(月)</v>
      </c>
      <c r="C15" s="440"/>
      <c r="D15" s="440"/>
      <c r="E15" s="445"/>
      <c r="F15" s="446"/>
      <c r="G15" s="446"/>
      <c r="H15" s="446"/>
      <c r="I15" s="446"/>
      <c r="J15" s="446"/>
      <c r="K15" s="446"/>
      <c r="L15" s="446"/>
      <c r="M15" s="446"/>
      <c r="N15" s="447"/>
      <c r="O15" s="454"/>
      <c r="P15" s="455"/>
      <c r="Q15" s="456"/>
      <c r="R15" s="487" t="s">
        <v>16</v>
      </c>
      <c r="S15" s="489" t="s">
        <v>156</v>
      </c>
      <c r="T15" s="490"/>
      <c r="U15" s="490"/>
      <c r="V15" s="490"/>
      <c r="W15" s="491"/>
      <c r="X15" s="470"/>
      <c r="Y15" s="470"/>
      <c r="Z15" s="475" t="s">
        <v>23</v>
      </c>
      <c r="AA15" s="476"/>
      <c r="AB15" s="477"/>
      <c r="AC15" s="484">
        <v>0.79166666666666663</v>
      </c>
      <c r="AD15" s="481"/>
      <c r="AE15" s="483" t="s">
        <v>26</v>
      </c>
    </row>
    <row r="16" spans="1:31" ht="11.15" customHeight="1">
      <c r="A16" s="437"/>
      <c r="B16" s="486"/>
      <c r="C16" s="441"/>
      <c r="D16" s="441"/>
      <c r="E16" s="448"/>
      <c r="F16" s="449"/>
      <c r="G16" s="449"/>
      <c r="H16" s="449"/>
      <c r="I16" s="449"/>
      <c r="J16" s="449"/>
      <c r="K16" s="449"/>
      <c r="L16" s="449"/>
      <c r="M16" s="449"/>
      <c r="N16" s="450"/>
      <c r="O16" s="457"/>
      <c r="P16" s="458"/>
      <c r="Q16" s="459"/>
      <c r="R16" s="488"/>
      <c r="S16" s="492"/>
      <c r="T16" s="493"/>
      <c r="U16" s="493"/>
      <c r="V16" s="493"/>
      <c r="W16" s="494"/>
      <c r="X16" s="471"/>
      <c r="Y16" s="471"/>
      <c r="Z16" s="495"/>
      <c r="AA16" s="496"/>
      <c r="AB16" s="497"/>
      <c r="AC16" s="498"/>
      <c r="AD16" s="499"/>
      <c r="AE16" s="500"/>
    </row>
    <row r="17" spans="1:31" ht="11.15" customHeight="1">
      <c r="A17" s="435">
        <v>2</v>
      </c>
      <c r="B17" s="501">
        <f>B11+1</f>
        <v>46189</v>
      </c>
      <c r="C17" s="439" t="s">
        <v>165</v>
      </c>
      <c r="D17" s="439"/>
      <c r="E17" s="502" t="s">
        <v>337</v>
      </c>
      <c r="F17" s="503"/>
      <c r="G17" s="503"/>
      <c r="H17" s="503"/>
      <c r="I17" s="503"/>
      <c r="J17" s="503"/>
      <c r="K17" s="503"/>
      <c r="L17" s="503"/>
      <c r="M17" s="503"/>
      <c r="N17" s="504"/>
      <c r="O17" s="511" t="s">
        <v>338</v>
      </c>
      <c r="P17" s="512"/>
      <c r="Q17" s="513"/>
      <c r="R17" s="460" t="s">
        <v>155</v>
      </c>
      <c r="S17" s="461"/>
      <c r="T17" s="461"/>
      <c r="U17" s="461"/>
      <c r="V17" s="461"/>
      <c r="W17" s="462"/>
      <c r="X17" s="469" t="s">
        <v>59</v>
      </c>
      <c r="Y17" s="469"/>
      <c r="Z17" s="517" t="s">
        <v>17</v>
      </c>
      <c r="AA17" s="518"/>
      <c r="AB17" s="519"/>
      <c r="AC17" s="520">
        <v>0.29166666666666669</v>
      </c>
      <c r="AD17" s="521"/>
      <c r="AE17" s="522"/>
    </row>
    <row r="18" spans="1:31" ht="11.15" customHeight="1">
      <c r="A18" s="436"/>
      <c r="B18" s="438"/>
      <c r="C18" s="440"/>
      <c r="D18" s="440"/>
      <c r="E18" s="505"/>
      <c r="F18" s="506"/>
      <c r="G18" s="506"/>
      <c r="H18" s="506"/>
      <c r="I18" s="506"/>
      <c r="J18" s="506"/>
      <c r="K18" s="506"/>
      <c r="L18" s="506"/>
      <c r="M18" s="506"/>
      <c r="N18" s="507"/>
      <c r="O18" s="514"/>
      <c r="P18" s="515"/>
      <c r="Q18" s="516"/>
      <c r="R18" s="463"/>
      <c r="S18" s="464"/>
      <c r="T18" s="464"/>
      <c r="U18" s="464"/>
      <c r="V18" s="464"/>
      <c r="W18" s="465"/>
      <c r="X18" s="470"/>
      <c r="Y18" s="470"/>
      <c r="Z18" s="475"/>
      <c r="AA18" s="476"/>
      <c r="AB18" s="477"/>
      <c r="AC18" s="480"/>
      <c r="AD18" s="481"/>
      <c r="AE18" s="483"/>
    </row>
    <row r="19" spans="1:31" ht="11.15" customHeight="1">
      <c r="A19" s="436"/>
      <c r="B19" s="438"/>
      <c r="C19" s="440"/>
      <c r="D19" s="440"/>
      <c r="E19" s="505"/>
      <c r="F19" s="506"/>
      <c r="G19" s="506"/>
      <c r="H19" s="506"/>
      <c r="I19" s="506"/>
      <c r="J19" s="506"/>
      <c r="K19" s="506"/>
      <c r="L19" s="506"/>
      <c r="M19" s="506"/>
      <c r="N19" s="507"/>
      <c r="O19" s="514"/>
      <c r="P19" s="515"/>
      <c r="Q19" s="516"/>
      <c r="R19" s="463"/>
      <c r="S19" s="464"/>
      <c r="T19" s="464"/>
      <c r="U19" s="464"/>
      <c r="V19" s="464"/>
      <c r="W19" s="465"/>
      <c r="X19" s="470"/>
      <c r="Y19" s="470"/>
      <c r="Z19" s="475" t="s">
        <v>21</v>
      </c>
      <c r="AA19" s="476"/>
      <c r="AB19" s="477"/>
      <c r="AC19" s="484">
        <v>0.54166666666666663</v>
      </c>
      <c r="AD19" s="481"/>
      <c r="AE19" s="483" t="s">
        <v>25</v>
      </c>
    </row>
    <row r="20" spans="1:31" ht="11.15" customHeight="1">
      <c r="A20" s="436"/>
      <c r="B20" s="438"/>
      <c r="C20" s="440"/>
      <c r="D20" s="440"/>
      <c r="E20" s="505"/>
      <c r="F20" s="506"/>
      <c r="G20" s="506"/>
      <c r="H20" s="506"/>
      <c r="I20" s="506"/>
      <c r="J20" s="506"/>
      <c r="K20" s="506"/>
      <c r="L20" s="506"/>
      <c r="M20" s="506"/>
      <c r="N20" s="507"/>
      <c r="O20" s="514"/>
      <c r="P20" s="515"/>
      <c r="Q20" s="516"/>
      <c r="R20" s="466"/>
      <c r="S20" s="467"/>
      <c r="T20" s="467"/>
      <c r="U20" s="467"/>
      <c r="V20" s="467"/>
      <c r="W20" s="468"/>
      <c r="X20" s="470"/>
      <c r="Y20" s="470"/>
      <c r="Z20" s="475"/>
      <c r="AA20" s="476"/>
      <c r="AB20" s="477"/>
      <c r="AC20" s="480"/>
      <c r="AD20" s="481"/>
      <c r="AE20" s="483"/>
    </row>
    <row r="21" spans="1:31" ht="11.15" customHeight="1">
      <c r="A21" s="436"/>
      <c r="B21" s="485" t="str">
        <f>TEXT(B17,"(aaa)")</f>
        <v>(火)</v>
      </c>
      <c r="C21" s="440"/>
      <c r="D21" s="440"/>
      <c r="E21" s="505"/>
      <c r="F21" s="506"/>
      <c r="G21" s="506"/>
      <c r="H21" s="506"/>
      <c r="I21" s="506"/>
      <c r="J21" s="506"/>
      <c r="K21" s="506"/>
      <c r="L21" s="506"/>
      <c r="M21" s="506"/>
      <c r="N21" s="507"/>
      <c r="O21" s="514"/>
      <c r="P21" s="515"/>
      <c r="Q21" s="516"/>
      <c r="R21" s="487" t="s">
        <v>16</v>
      </c>
      <c r="S21" s="489" t="s">
        <v>156</v>
      </c>
      <c r="T21" s="490"/>
      <c r="U21" s="490"/>
      <c r="V21" s="490"/>
      <c r="W21" s="491"/>
      <c r="X21" s="470"/>
      <c r="Y21" s="470"/>
      <c r="Z21" s="475" t="s">
        <v>22</v>
      </c>
      <c r="AA21" s="476"/>
      <c r="AB21" s="477"/>
      <c r="AC21" s="484">
        <v>0.79166666666666663</v>
      </c>
      <c r="AD21" s="481"/>
      <c r="AE21" s="483" t="s">
        <v>25</v>
      </c>
    </row>
    <row r="22" spans="1:31" ht="11.15" customHeight="1">
      <c r="A22" s="437"/>
      <c r="B22" s="486"/>
      <c r="C22" s="441"/>
      <c r="D22" s="441"/>
      <c r="E22" s="508"/>
      <c r="F22" s="509"/>
      <c r="G22" s="509"/>
      <c r="H22" s="509"/>
      <c r="I22" s="509"/>
      <c r="J22" s="509"/>
      <c r="K22" s="509"/>
      <c r="L22" s="509"/>
      <c r="M22" s="509"/>
      <c r="N22" s="510"/>
      <c r="O22" s="514"/>
      <c r="P22" s="515"/>
      <c r="Q22" s="516"/>
      <c r="R22" s="488"/>
      <c r="S22" s="492"/>
      <c r="T22" s="493"/>
      <c r="U22" s="493"/>
      <c r="V22" s="493"/>
      <c r="W22" s="494"/>
      <c r="X22" s="471"/>
      <c r="Y22" s="471"/>
      <c r="Z22" s="495"/>
      <c r="AA22" s="496"/>
      <c r="AB22" s="497"/>
      <c r="AC22" s="498"/>
      <c r="AD22" s="499"/>
      <c r="AE22" s="500"/>
    </row>
    <row r="23" spans="1:31" ht="11.15" customHeight="1">
      <c r="A23" s="228">
        <v>3</v>
      </c>
      <c r="B23" s="231">
        <f>B17+1</f>
        <v>46190</v>
      </c>
      <c r="C23" s="233" t="s">
        <v>356</v>
      </c>
      <c r="D23" s="233"/>
      <c r="E23" s="305" t="s">
        <v>362</v>
      </c>
      <c r="F23" s="306"/>
      <c r="G23" s="306"/>
      <c r="H23" s="306"/>
      <c r="I23" s="306"/>
      <c r="J23" s="306"/>
      <c r="K23" s="306"/>
      <c r="L23" s="306"/>
      <c r="M23" s="306"/>
      <c r="N23" s="307"/>
      <c r="O23" s="314" t="s">
        <v>332</v>
      </c>
      <c r="P23" s="315"/>
      <c r="Q23" s="316"/>
      <c r="R23" s="251" t="s">
        <v>58</v>
      </c>
      <c r="S23" s="252"/>
      <c r="T23" s="252"/>
      <c r="U23" s="252"/>
      <c r="V23" s="252"/>
      <c r="W23" s="253"/>
      <c r="X23" s="260" t="s">
        <v>59</v>
      </c>
      <c r="Y23" s="260"/>
      <c r="Z23" s="517" t="s">
        <v>131</v>
      </c>
      <c r="AA23" s="518"/>
      <c r="AB23" s="519"/>
      <c r="AC23" s="538" t="s">
        <v>130</v>
      </c>
      <c r="AD23" s="539"/>
      <c r="AE23" s="522" t="s">
        <v>132</v>
      </c>
    </row>
    <row r="24" spans="1:31" ht="11.15" customHeight="1">
      <c r="A24" s="229"/>
      <c r="B24" s="232"/>
      <c r="C24" s="234"/>
      <c r="D24" s="234"/>
      <c r="E24" s="308"/>
      <c r="F24" s="309"/>
      <c r="G24" s="309"/>
      <c r="H24" s="309"/>
      <c r="I24" s="309"/>
      <c r="J24" s="309"/>
      <c r="K24" s="309"/>
      <c r="L24" s="309"/>
      <c r="M24" s="309"/>
      <c r="N24" s="310"/>
      <c r="O24" s="317"/>
      <c r="P24" s="318"/>
      <c r="Q24" s="319"/>
      <c r="R24" s="254"/>
      <c r="S24" s="255"/>
      <c r="T24" s="255"/>
      <c r="U24" s="255"/>
      <c r="V24" s="255"/>
      <c r="W24" s="256"/>
      <c r="X24" s="261"/>
      <c r="Y24" s="261"/>
      <c r="Z24" s="475"/>
      <c r="AA24" s="476"/>
      <c r="AB24" s="477"/>
      <c r="AC24" s="540"/>
      <c r="AD24" s="541"/>
      <c r="AE24" s="483"/>
    </row>
    <row r="25" spans="1:31" ht="11.15" customHeight="1">
      <c r="A25" s="229"/>
      <c r="B25" s="232"/>
      <c r="C25" s="234"/>
      <c r="D25" s="234"/>
      <c r="E25" s="308"/>
      <c r="F25" s="309"/>
      <c r="G25" s="309"/>
      <c r="H25" s="309"/>
      <c r="I25" s="309"/>
      <c r="J25" s="309"/>
      <c r="K25" s="309"/>
      <c r="L25" s="309"/>
      <c r="M25" s="309"/>
      <c r="N25" s="310"/>
      <c r="O25" s="317"/>
      <c r="P25" s="318"/>
      <c r="Q25" s="319"/>
      <c r="R25" s="254"/>
      <c r="S25" s="255"/>
      <c r="T25" s="255"/>
      <c r="U25" s="255"/>
      <c r="V25" s="255"/>
      <c r="W25" s="256"/>
      <c r="X25" s="261"/>
      <c r="Y25" s="261"/>
      <c r="Z25" s="320" t="s">
        <v>68</v>
      </c>
      <c r="AA25" s="321"/>
      <c r="AB25" s="322"/>
      <c r="AC25" s="323">
        <v>0.52083333333333337</v>
      </c>
      <c r="AD25" s="324"/>
      <c r="AE25" s="326" t="s">
        <v>69</v>
      </c>
    </row>
    <row r="26" spans="1:31" ht="11.15" customHeight="1">
      <c r="A26" s="229"/>
      <c r="B26" s="232"/>
      <c r="C26" s="234"/>
      <c r="D26" s="234"/>
      <c r="E26" s="308"/>
      <c r="F26" s="309"/>
      <c r="G26" s="309"/>
      <c r="H26" s="309"/>
      <c r="I26" s="309"/>
      <c r="J26" s="309"/>
      <c r="K26" s="309"/>
      <c r="L26" s="309"/>
      <c r="M26" s="309"/>
      <c r="N26" s="310"/>
      <c r="O26" s="317"/>
      <c r="P26" s="318"/>
      <c r="Q26" s="319"/>
      <c r="R26" s="257"/>
      <c r="S26" s="258"/>
      <c r="T26" s="258"/>
      <c r="U26" s="258"/>
      <c r="V26" s="258"/>
      <c r="W26" s="259"/>
      <c r="X26" s="261"/>
      <c r="Y26" s="261"/>
      <c r="Z26" s="320"/>
      <c r="AA26" s="321"/>
      <c r="AB26" s="322"/>
      <c r="AC26" s="325"/>
      <c r="AD26" s="324"/>
      <c r="AE26" s="326"/>
    </row>
    <row r="27" spans="1:31" ht="11.15" customHeight="1">
      <c r="A27" s="229"/>
      <c r="B27" s="288" t="str">
        <f>TEXT(B23,"(aaa)")</f>
        <v>(水)</v>
      </c>
      <c r="C27" s="234"/>
      <c r="D27" s="234"/>
      <c r="E27" s="308"/>
      <c r="F27" s="309"/>
      <c r="G27" s="309"/>
      <c r="H27" s="309"/>
      <c r="I27" s="309"/>
      <c r="J27" s="309"/>
      <c r="K27" s="309"/>
      <c r="L27" s="309"/>
      <c r="M27" s="309"/>
      <c r="N27" s="310"/>
      <c r="O27" s="317"/>
      <c r="P27" s="318"/>
      <c r="Q27" s="319"/>
      <c r="R27" s="290" t="s">
        <v>19</v>
      </c>
      <c r="S27" s="292" t="s">
        <v>45</v>
      </c>
      <c r="T27" s="293"/>
      <c r="U27" s="293"/>
      <c r="V27" s="293"/>
      <c r="W27" s="294"/>
      <c r="X27" s="261"/>
      <c r="Y27" s="261"/>
      <c r="Z27" s="320" t="s">
        <v>139</v>
      </c>
      <c r="AA27" s="321"/>
      <c r="AB27" s="322"/>
      <c r="AC27" s="335">
        <v>0.79166666666666663</v>
      </c>
      <c r="AD27" s="324"/>
      <c r="AE27" s="326" t="s">
        <v>69</v>
      </c>
    </row>
    <row r="28" spans="1:31" ht="11.15" customHeight="1">
      <c r="A28" s="230"/>
      <c r="B28" s="289"/>
      <c r="C28" s="235"/>
      <c r="D28" s="235"/>
      <c r="E28" s="311"/>
      <c r="F28" s="312"/>
      <c r="G28" s="312"/>
      <c r="H28" s="312"/>
      <c r="I28" s="312"/>
      <c r="J28" s="312"/>
      <c r="K28" s="312"/>
      <c r="L28" s="312"/>
      <c r="M28" s="312"/>
      <c r="N28" s="313"/>
      <c r="O28" s="317"/>
      <c r="P28" s="318"/>
      <c r="Q28" s="319"/>
      <c r="R28" s="291"/>
      <c r="S28" s="295"/>
      <c r="T28" s="296"/>
      <c r="U28" s="296"/>
      <c r="V28" s="296"/>
      <c r="W28" s="297"/>
      <c r="X28" s="262"/>
      <c r="Y28" s="262"/>
      <c r="Z28" s="357"/>
      <c r="AA28" s="358"/>
      <c r="AB28" s="359"/>
      <c r="AC28" s="336"/>
      <c r="AD28" s="337"/>
      <c r="AE28" s="338"/>
    </row>
    <row r="29" spans="1:31" ht="11.15" customHeight="1">
      <c r="A29" s="228">
        <v>4</v>
      </c>
      <c r="B29" s="231">
        <f>B23+1</f>
        <v>46191</v>
      </c>
      <c r="C29" s="339" t="s">
        <v>118</v>
      </c>
      <c r="D29" s="340"/>
      <c r="E29" s="345" t="s">
        <v>78</v>
      </c>
      <c r="F29" s="346"/>
      <c r="G29" s="346"/>
      <c r="H29" s="346"/>
      <c r="I29" s="346"/>
      <c r="J29" s="346"/>
      <c r="K29" s="346"/>
      <c r="L29" s="346"/>
      <c r="M29" s="346"/>
      <c r="N29" s="347"/>
      <c r="O29" s="245" t="s">
        <v>170</v>
      </c>
      <c r="P29" s="246"/>
      <c r="Q29" s="247"/>
      <c r="R29" s="251" t="s">
        <v>58</v>
      </c>
      <c r="S29" s="252"/>
      <c r="T29" s="252"/>
      <c r="U29" s="252"/>
      <c r="V29" s="252"/>
      <c r="W29" s="253"/>
      <c r="X29" s="260" t="s">
        <v>59</v>
      </c>
      <c r="Y29" s="260"/>
      <c r="Z29" s="299" t="s">
        <v>17</v>
      </c>
      <c r="AA29" s="300"/>
      <c r="AB29" s="301"/>
      <c r="AC29" s="302">
        <v>0.27083333333333331</v>
      </c>
      <c r="AD29" s="303"/>
      <c r="AE29" s="334"/>
    </row>
    <row r="30" spans="1:31" ht="11.15" customHeight="1">
      <c r="A30" s="229"/>
      <c r="B30" s="232"/>
      <c r="C30" s="341"/>
      <c r="D30" s="342"/>
      <c r="E30" s="348"/>
      <c r="F30" s="349"/>
      <c r="G30" s="349"/>
      <c r="H30" s="349"/>
      <c r="I30" s="349"/>
      <c r="J30" s="349"/>
      <c r="K30" s="349"/>
      <c r="L30" s="349"/>
      <c r="M30" s="349"/>
      <c r="N30" s="350"/>
      <c r="O30" s="248"/>
      <c r="P30" s="249"/>
      <c r="Q30" s="250"/>
      <c r="R30" s="254"/>
      <c r="S30" s="255"/>
      <c r="T30" s="255"/>
      <c r="U30" s="255"/>
      <c r="V30" s="255"/>
      <c r="W30" s="256"/>
      <c r="X30" s="261"/>
      <c r="Y30" s="261"/>
      <c r="Z30" s="209"/>
      <c r="AA30" s="210"/>
      <c r="AB30" s="211"/>
      <c r="AC30" s="214"/>
      <c r="AD30" s="213"/>
      <c r="AE30" s="326"/>
    </row>
    <row r="31" spans="1:31" ht="11.15" customHeight="1">
      <c r="A31" s="229"/>
      <c r="B31" s="232"/>
      <c r="C31" s="341"/>
      <c r="D31" s="342"/>
      <c r="E31" s="348"/>
      <c r="F31" s="349"/>
      <c r="G31" s="349"/>
      <c r="H31" s="349"/>
      <c r="I31" s="349"/>
      <c r="J31" s="349"/>
      <c r="K31" s="349"/>
      <c r="L31" s="349"/>
      <c r="M31" s="349"/>
      <c r="N31" s="350"/>
      <c r="O31" s="248"/>
      <c r="P31" s="249"/>
      <c r="Q31" s="250"/>
      <c r="R31" s="254"/>
      <c r="S31" s="255"/>
      <c r="T31" s="255"/>
      <c r="U31" s="255"/>
      <c r="V31" s="255"/>
      <c r="W31" s="256"/>
      <c r="X31" s="261"/>
      <c r="Y31" s="261"/>
      <c r="Z31" s="320" t="s">
        <v>141</v>
      </c>
      <c r="AA31" s="321"/>
      <c r="AB31" s="322"/>
      <c r="AC31" s="323" t="s">
        <v>36</v>
      </c>
      <c r="AD31" s="324"/>
      <c r="AE31" s="326"/>
    </row>
    <row r="32" spans="1:31" ht="11.15" customHeight="1">
      <c r="A32" s="229"/>
      <c r="B32" s="232"/>
      <c r="C32" s="341"/>
      <c r="D32" s="342"/>
      <c r="E32" s="348"/>
      <c r="F32" s="349"/>
      <c r="G32" s="349"/>
      <c r="H32" s="349"/>
      <c r="I32" s="349"/>
      <c r="J32" s="349"/>
      <c r="K32" s="349"/>
      <c r="L32" s="349"/>
      <c r="M32" s="349"/>
      <c r="N32" s="350"/>
      <c r="O32" s="248"/>
      <c r="P32" s="249"/>
      <c r="Q32" s="250"/>
      <c r="R32" s="257"/>
      <c r="S32" s="258"/>
      <c r="T32" s="258"/>
      <c r="U32" s="258"/>
      <c r="V32" s="258"/>
      <c r="W32" s="259"/>
      <c r="X32" s="261"/>
      <c r="Y32" s="261"/>
      <c r="Z32" s="320"/>
      <c r="AA32" s="321"/>
      <c r="AB32" s="322"/>
      <c r="AC32" s="325"/>
      <c r="AD32" s="324"/>
      <c r="AE32" s="326"/>
    </row>
    <row r="33" spans="1:31" ht="11.15" customHeight="1">
      <c r="A33" s="229"/>
      <c r="B33" s="288" t="str">
        <f>TEXT(B29,"(aaa)")</f>
        <v>(木)</v>
      </c>
      <c r="C33" s="341"/>
      <c r="D33" s="342"/>
      <c r="E33" s="348"/>
      <c r="F33" s="349"/>
      <c r="G33" s="349"/>
      <c r="H33" s="349"/>
      <c r="I33" s="349"/>
      <c r="J33" s="349"/>
      <c r="K33" s="349"/>
      <c r="L33" s="349"/>
      <c r="M33" s="349"/>
      <c r="N33" s="350"/>
      <c r="O33" s="248"/>
      <c r="P33" s="249"/>
      <c r="Q33" s="250"/>
      <c r="R33" s="290" t="s">
        <v>19</v>
      </c>
      <c r="S33" s="292" t="s">
        <v>45</v>
      </c>
      <c r="T33" s="293"/>
      <c r="U33" s="293"/>
      <c r="V33" s="293"/>
      <c r="W33" s="294"/>
      <c r="X33" s="261"/>
      <c r="Y33" s="261"/>
      <c r="Z33" s="320" t="s">
        <v>139</v>
      </c>
      <c r="AA33" s="321"/>
      <c r="AB33" s="322"/>
      <c r="AC33" s="335">
        <v>0.79166666666666663</v>
      </c>
      <c r="AD33" s="324"/>
      <c r="AE33" s="326" t="s">
        <v>69</v>
      </c>
    </row>
    <row r="34" spans="1:31" ht="11.15" customHeight="1">
      <c r="A34" s="230"/>
      <c r="B34" s="289"/>
      <c r="C34" s="343"/>
      <c r="D34" s="344"/>
      <c r="E34" s="351"/>
      <c r="F34" s="352"/>
      <c r="G34" s="352"/>
      <c r="H34" s="352"/>
      <c r="I34" s="352"/>
      <c r="J34" s="352"/>
      <c r="K34" s="352"/>
      <c r="L34" s="352"/>
      <c r="M34" s="352"/>
      <c r="N34" s="353"/>
      <c r="O34" s="354"/>
      <c r="P34" s="355"/>
      <c r="Q34" s="356"/>
      <c r="R34" s="291"/>
      <c r="S34" s="295"/>
      <c r="T34" s="296"/>
      <c r="U34" s="296"/>
      <c r="V34" s="296"/>
      <c r="W34" s="297"/>
      <c r="X34" s="262"/>
      <c r="Y34" s="262"/>
      <c r="Z34" s="357"/>
      <c r="AA34" s="358"/>
      <c r="AB34" s="359"/>
      <c r="AC34" s="336"/>
      <c r="AD34" s="337"/>
      <c r="AE34" s="338"/>
    </row>
    <row r="35" spans="1:31" ht="11.15" customHeight="1">
      <c r="A35" s="228">
        <v>5</v>
      </c>
      <c r="B35" s="231">
        <f>B29+1</f>
        <v>46192</v>
      </c>
      <c r="C35" s="233" t="s">
        <v>357</v>
      </c>
      <c r="D35" s="233"/>
      <c r="E35" s="360" t="s">
        <v>358</v>
      </c>
      <c r="F35" s="361"/>
      <c r="G35" s="361"/>
      <c r="H35" s="361"/>
      <c r="I35" s="361"/>
      <c r="J35" s="361"/>
      <c r="K35" s="361"/>
      <c r="L35" s="361"/>
      <c r="M35" s="361"/>
      <c r="N35" s="362"/>
      <c r="O35" s="314" t="s">
        <v>164</v>
      </c>
      <c r="P35" s="315"/>
      <c r="Q35" s="316"/>
      <c r="R35" s="251" t="s">
        <v>58</v>
      </c>
      <c r="S35" s="252"/>
      <c r="T35" s="252"/>
      <c r="U35" s="252"/>
      <c r="V35" s="252"/>
      <c r="W35" s="253"/>
      <c r="X35" s="260" t="s">
        <v>59</v>
      </c>
      <c r="Y35" s="260"/>
      <c r="Z35" s="327" t="s">
        <v>152</v>
      </c>
      <c r="AA35" s="328"/>
      <c r="AB35" s="329"/>
      <c r="AC35" s="330" t="s">
        <v>130</v>
      </c>
      <c r="AD35" s="331"/>
      <c r="AE35" s="334" t="s">
        <v>69</v>
      </c>
    </row>
    <row r="36" spans="1:31" ht="11.15" customHeight="1">
      <c r="A36" s="229"/>
      <c r="B36" s="232"/>
      <c r="C36" s="234"/>
      <c r="D36" s="234"/>
      <c r="E36" s="363"/>
      <c r="F36" s="364"/>
      <c r="G36" s="364"/>
      <c r="H36" s="364"/>
      <c r="I36" s="364"/>
      <c r="J36" s="364"/>
      <c r="K36" s="364"/>
      <c r="L36" s="364"/>
      <c r="M36" s="364"/>
      <c r="N36" s="365"/>
      <c r="O36" s="317"/>
      <c r="P36" s="318"/>
      <c r="Q36" s="319"/>
      <c r="R36" s="254"/>
      <c r="S36" s="255"/>
      <c r="T36" s="255"/>
      <c r="U36" s="255"/>
      <c r="V36" s="255"/>
      <c r="W36" s="256"/>
      <c r="X36" s="261"/>
      <c r="Y36" s="261"/>
      <c r="Z36" s="320"/>
      <c r="AA36" s="321"/>
      <c r="AB36" s="322"/>
      <c r="AC36" s="332"/>
      <c r="AD36" s="333"/>
      <c r="AE36" s="326"/>
    </row>
    <row r="37" spans="1:31" ht="11.15" customHeight="1">
      <c r="A37" s="229"/>
      <c r="B37" s="232"/>
      <c r="C37" s="234"/>
      <c r="D37" s="234"/>
      <c r="E37" s="363"/>
      <c r="F37" s="364"/>
      <c r="G37" s="364"/>
      <c r="H37" s="364"/>
      <c r="I37" s="364"/>
      <c r="J37" s="364"/>
      <c r="K37" s="364"/>
      <c r="L37" s="364"/>
      <c r="M37" s="364"/>
      <c r="N37" s="365"/>
      <c r="O37" s="317"/>
      <c r="P37" s="318"/>
      <c r="Q37" s="319"/>
      <c r="R37" s="254"/>
      <c r="S37" s="255"/>
      <c r="T37" s="255"/>
      <c r="U37" s="255"/>
      <c r="V37" s="255"/>
      <c r="W37" s="256"/>
      <c r="X37" s="261"/>
      <c r="Y37" s="261"/>
      <c r="Z37" s="320" t="s">
        <v>140</v>
      </c>
      <c r="AA37" s="321"/>
      <c r="AB37" s="322"/>
      <c r="AC37" s="335">
        <v>0.58333333333333337</v>
      </c>
      <c r="AD37" s="324"/>
      <c r="AE37" s="326" t="s">
        <v>24</v>
      </c>
    </row>
    <row r="38" spans="1:31" ht="11.15" customHeight="1">
      <c r="A38" s="229"/>
      <c r="B38" s="232"/>
      <c r="C38" s="234"/>
      <c r="D38" s="234"/>
      <c r="E38" s="363"/>
      <c r="F38" s="364"/>
      <c r="G38" s="364"/>
      <c r="H38" s="364"/>
      <c r="I38" s="364"/>
      <c r="J38" s="364"/>
      <c r="K38" s="364"/>
      <c r="L38" s="364"/>
      <c r="M38" s="364"/>
      <c r="N38" s="365"/>
      <c r="O38" s="317"/>
      <c r="P38" s="318"/>
      <c r="Q38" s="319"/>
      <c r="R38" s="257"/>
      <c r="S38" s="258"/>
      <c r="T38" s="258"/>
      <c r="U38" s="258"/>
      <c r="V38" s="258"/>
      <c r="W38" s="259"/>
      <c r="X38" s="261"/>
      <c r="Y38" s="261"/>
      <c r="Z38" s="320"/>
      <c r="AA38" s="321"/>
      <c r="AB38" s="322"/>
      <c r="AC38" s="325"/>
      <c r="AD38" s="324"/>
      <c r="AE38" s="326"/>
    </row>
    <row r="39" spans="1:31" ht="11.15" customHeight="1">
      <c r="A39" s="229"/>
      <c r="B39" s="288" t="str">
        <f>TEXT(B35,"(aaa)")</f>
        <v>(金)</v>
      </c>
      <c r="C39" s="234"/>
      <c r="D39" s="234"/>
      <c r="E39" s="363"/>
      <c r="F39" s="364"/>
      <c r="G39" s="364"/>
      <c r="H39" s="364"/>
      <c r="I39" s="364"/>
      <c r="J39" s="364"/>
      <c r="K39" s="364"/>
      <c r="L39" s="364"/>
      <c r="M39" s="364"/>
      <c r="N39" s="365"/>
      <c r="O39" s="317"/>
      <c r="P39" s="318"/>
      <c r="Q39" s="319"/>
      <c r="R39" s="290" t="s">
        <v>19</v>
      </c>
      <c r="S39" s="292" t="s">
        <v>45</v>
      </c>
      <c r="T39" s="293"/>
      <c r="U39" s="293"/>
      <c r="V39" s="293"/>
      <c r="W39" s="294"/>
      <c r="X39" s="261"/>
      <c r="Y39" s="261"/>
      <c r="Z39" s="320" t="s">
        <v>139</v>
      </c>
      <c r="AA39" s="321"/>
      <c r="AB39" s="322"/>
      <c r="AC39" s="335">
        <v>0.8125</v>
      </c>
      <c r="AD39" s="324"/>
      <c r="AE39" s="326" t="s">
        <v>69</v>
      </c>
    </row>
    <row r="40" spans="1:31" ht="11.15" customHeight="1">
      <c r="A40" s="230"/>
      <c r="B40" s="289"/>
      <c r="C40" s="235"/>
      <c r="D40" s="235"/>
      <c r="E40" s="366"/>
      <c r="F40" s="367"/>
      <c r="G40" s="367"/>
      <c r="H40" s="367"/>
      <c r="I40" s="367"/>
      <c r="J40" s="367"/>
      <c r="K40" s="367"/>
      <c r="L40" s="367"/>
      <c r="M40" s="367"/>
      <c r="N40" s="368"/>
      <c r="O40" s="369"/>
      <c r="P40" s="370"/>
      <c r="Q40" s="371"/>
      <c r="R40" s="291"/>
      <c r="S40" s="295"/>
      <c r="T40" s="296"/>
      <c r="U40" s="296"/>
      <c r="V40" s="296"/>
      <c r="W40" s="297"/>
      <c r="X40" s="262"/>
      <c r="Y40" s="262"/>
      <c r="Z40" s="357"/>
      <c r="AA40" s="358"/>
      <c r="AB40" s="359"/>
      <c r="AC40" s="336"/>
      <c r="AD40" s="337"/>
      <c r="AE40" s="338"/>
    </row>
    <row r="41" spans="1:31" ht="11.15" customHeight="1">
      <c r="A41" s="228">
        <v>6</v>
      </c>
      <c r="B41" s="231">
        <f>B35+1</f>
        <v>46193</v>
      </c>
      <c r="C41" s="339" t="s">
        <v>118</v>
      </c>
      <c r="D41" s="340"/>
      <c r="E41" s="305" t="s">
        <v>77</v>
      </c>
      <c r="F41" s="306"/>
      <c r="G41" s="306"/>
      <c r="H41" s="306"/>
      <c r="I41" s="306"/>
      <c r="J41" s="306"/>
      <c r="K41" s="306"/>
      <c r="L41" s="306"/>
      <c r="M41" s="306"/>
      <c r="N41" s="307"/>
      <c r="O41" s="314" t="s">
        <v>160</v>
      </c>
      <c r="P41" s="315"/>
      <c r="Q41" s="316"/>
      <c r="R41" s="251" t="s">
        <v>74</v>
      </c>
      <c r="S41" s="374"/>
      <c r="T41" s="374"/>
      <c r="U41" s="374"/>
      <c r="V41" s="374"/>
      <c r="W41" s="375"/>
      <c r="X41" s="260" t="s">
        <v>59</v>
      </c>
      <c r="Y41" s="260"/>
      <c r="Z41" s="327" t="s">
        <v>17</v>
      </c>
      <c r="AA41" s="328"/>
      <c r="AB41" s="329"/>
      <c r="AC41" s="372">
        <v>0.27083333333333331</v>
      </c>
      <c r="AD41" s="373"/>
      <c r="AE41" s="334"/>
    </row>
    <row r="42" spans="1:31" ht="11.15" customHeight="1">
      <c r="A42" s="229"/>
      <c r="B42" s="232"/>
      <c r="C42" s="341"/>
      <c r="D42" s="342"/>
      <c r="E42" s="308"/>
      <c r="F42" s="309"/>
      <c r="G42" s="309"/>
      <c r="H42" s="309"/>
      <c r="I42" s="309"/>
      <c r="J42" s="309"/>
      <c r="K42" s="309"/>
      <c r="L42" s="309"/>
      <c r="M42" s="309"/>
      <c r="N42" s="310"/>
      <c r="O42" s="317"/>
      <c r="P42" s="318"/>
      <c r="Q42" s="319"/>
      <c r="R42" s="376"/>
      <c r="S42" s="377"/>
      <c r="T42" s="377"/>
      <c r="U42" s="377"/>
      <c r="V42" s="377"/>
      <c r="W42" s="378"/>
      <c r="X42" s="261"/>
      <c r="Y42" s="261"/>
      <c r="Z42" s="320"/>
      <c r="AA42" s="321"/>
      <c r="AB42" s="322"/>
      <c r="AC42" s="325"/>
      <c r="AD42" s="324"/>
      <c r="AE42" s="326"/>
    </row>
    <row r="43" spans="1:31" ht="11.15" customHeight="1">
      <c r="A43" s="229"/>
      <c r="B43" s="232"/>
      <c r="C43" s="341"/>
      <c r="D43" s="342"/>
      <c r="E43" s="308"/>
      <c r="F43" s="309"/>
      <c r="G43" s="309"/>
      <c r="H43" s="309"/>
      <c r="I43" s="309"/>
      <c r="J43" s="309"/>
      <c r="K43" s="309"/>
      <c r="L43" s="309"/>
      <c r="M43" s="309"/>
      <c r="N43" s="310"/>
      <c r="O43" s="317"/>
      <c r="P43" s="318"/>
      <c r="Q43" s="319"/>
      <c r="R43" s="376"/>
      <c r="S43" s="377"/>
      <c r="T43" s="377"/>
      <c r="U43" s="377"/>
      <c r="V43" s="377"/>
      <c r="W43" s="378"/>
      <c r="X43" s="261"/>
      <c r="Y43" s="261"/>
      <c r="Z43" s="320" t="s">
        <v>142</v>
      </c>
      <c r="AA43" s="321"/>
      <c r="AB43" s="322"/>
      <c r="AC43" s="323">
        <v>0.5625</v>
      </c>
      <c r="AD43" s="324"/>
      <c r="AE43" s="326" t="s">
        <v>69</v>
      </c>
    </row>
    <row r="44" spans="1:31" ht="11.15" customHeight="1">
      <c r="A44" s="229"/>
      <c r="B44" s="232"/>
      <c r="C44" s="341"/>
      <c r="D44" s="342"/>
      <c r="E44" s="308"/>
      <c r="F44" s="309"/>
      <c r="G44" s="309"/>
      <c r="H44" s="309"/>
      <c r="I44" s="309"/>
      <c r="J44" s="309"/>
      <c r="K44" s="309"/>
      <c r="L44" s="309"/>
      <c r="M44" s="309"/>
      <c r="N44" s="310"/>
      <c r="O44" s="317"/>
      <c r="P44" s="318"/>
      <c r="Q44" s="319"/>
      <c r="R44" s="379"/>
      <c r="S44" s="380"/>
      <c r="T44" s="380"/>
      <c r="U44" s="380"/>
      <c r="V44" s="380"/>
      <c r="W44" s="381"/>
      <c r="X44" s="261"/>
      <c r="Y44" s="261"/>
      <c r="Z44" s="320"/>
      <c r="AA44" s="321"/>
      <c r="AB44" s="322"/>
      <c r="AC44" s="325"/>
      <c r="AD44" s="324"/>
      <c r="AE44" s="326"/>
    </row>
    <row r="45" spans="1:31" ht="11.15" customHeight="1">
      <c r="A45" s="229"/>
      <c r="B45" s="288" t="str">
        <f>TEXT(B41,"(aaa)")</f>
        <v>(土)</v>
      </c>
      <c r="C45" s="341"/>
      <c r="D45" s="342"/>
      <c r="E45" s="308"/>
      <c r="F45" s="309"/>
      <c r="G45" s="309"/>
      <c r="H45" s="309"/>
      <c r="I45" s="309"/>
      <c r="J45" s="309"/>
      <c r="K45" s="309"/>
      <c r="L45" s="309"/>
      <c r="M45" s="309"/>
      <c r="N45" s="310"/>
      <c r="O45" s="317"/>
      <c r="P45" s="318"/>
      <c r="Q45" s="319"/>
      <c r="R45" s="290" t="s">
        <v>18</v>
      </c>
      <c r="S45" s="383" t="s">
        <v>75</v>
      </c>
      <c r="T45" s="384"/>
      <c r="U45" s="384"/>
      <c r="V45" s="384"/>
      <c r="W45" s="385"/>
      <c r="X45" s="261"/>
      <c r="Y45" s="261"/>
      <c r="Z45" s="320" t="s">
        <v>37</v>
      </c>
      <c r="AA45" s="321"/>
      <c r="AB45" s="322"/>
      <c r="AC45" s="335">
        <v>0.79166666666666663</v>
      </c>
      <c r="AD45" s="324"/>
      <c r="AE45" s="326" t="s">
        <v>39</v>
      </c>
    </row>
    <row r="46" spans="1:31" ht="11.15" customHeight="1">
      <c r="A46" s="230"/>
      <c r="B46" s="289"/>
      <c r="C46" s="343"/>
      <c r="D46" s="344"/>
      <c r="E46" s="311"/>
      <c r="F46" s="312"/>
      <c r="G46" s="312"/>
      <c r="H46" s="312"/>
      <c r="I46" s="312"/>
      <c r="J46" s="312"/>
      <c r="K46" s="312"/>
      <c r="L46" s="312"/>
      <c r="M46" s="312"/>
      <c r="N46" s="313"/>
      <c r="O46" s="369"/>
      <c r="P46" s="370"/>
      <c r="Q46" s="371"/>
      <c r="R46" s="382"/>
      <c r="S46" s="386"/>
      <c r="T46" s="387"/>
      <c r="U46" s="387"/>
      <c r="V46" s="387"/>
      <c r="W46" s="388"/>
      <c r="X46" s="262"/>
      <c r="Y46" s="262"/>
      <c r="Z46" s="357"/>
      <c r="AA46" s="358"/>
      <c r="AB46" s="359"/>
      <c r="AC46" s="336"/>
      <c r="AD46" s="337"/>
      <c r="AE46" s="338"/>
    </row>
    <row r="47" spans="1:31" ht="11.15" customHeight="1">
      <c r="A47" s="228">
        <v>7</v>
      </c>
      <c r="B47" s="231">
        <f>B41+1</f>
        <v>46194</v>
      </c>
      <c r="C47" s="339" t="s">
        <v>118</v>
      </c>
      <c r="D47" s="340"/>
      <c r="E47" s="345" t="s">
        <v>73</v>
      </c>
      <c r="F47" s="346"/>
      <c r="G47" s="346"/>
      <c r="H47" s="346"/>
      <c r="I47" s="346"/>
      <c r="J47" s="346"/>
      <c r="K47" s="346"/>
      <c r="L47" s="346"/>
      <c r="M47" s="346"/>
      <c r="N47" s="347"/>
      <c r="O47" s="314" t="s">
        <v>171</v>
      </c>
      <c r="P47" s="315"/>
      <c r="Q47" s="316"/>
      <c r="R47" s="251" t="s">
        <v>74</v>
      </c>
      <c r="S47" s="374"/>
      <c r="T47" s="374"/>
      <c r="U47" s="374"/>
      <c r="V47" s="374"/>
      <c r="W47" s="375"/>
      <c r="X47" s="260" t="s">
        <v>59</v>
      </c>
      <c r="Y47" s="260"/>
      <c r="Z47" s="327" t="s">
        <v>17</v>
      </c>
      <c r="AA47" s="328"/>
      <c r="AB47" s="329"/>
      <c r="AC47" s="372">
        <v>0.28125</v>
      </c>
      <c r="AD47" s="373"/>
      <c r="AE47" s="389"/>
    </row>
    <row r="48" spans="1:31" ht="11.15" customHeight="1">
      <c r="A48" s="229"/>
      <c r="B48" s="232"/>
      <c r="C48" s="341"/>
      <c r="D48" s="342"/>
      <c r="E48" s="348"/>
      <c r="F48" s="349"/>
      <c r="G48" s="349"/>
      <c r="H48" s="349"/>
      <c r="I48" s="349"/>
      <c r="J48" s="349"/>
      <c r="K48" s="349"/>
      <c r="L48" s="349"/>
      <c r="M48" s="349"/>
      <c r="N48" s="350"/>
      <c r="O48" s="317"/>
      <c r="P48" s="318"/>
      <c r="Q48" s="319"/>
      <c r="R48" s="376"/>
      <c r="S48" s="377"/>
      <c r="T48" s="377"/>
      <c r="U48" s="377"/>
      <c r="V48" s="377"/>
      <c r="W48" s="378"/>
      <c r="X48" s="261"/>
      <c r="Y48" s="261"/>
      <c r="Z48" s="320"/>
      <c r="AA48" s="321"/>
      <c r="AB48" s="322"/>
      <c r="AC48" s="325"/>
      <c r="AD48" s="324"/>
      <c r="AE48" s="390"/>
    </row>
    <row r="49" spans="1:31" ht="11.15" customHeight="1">
      <c r="A49" s="229"/>
      <c r="B49" s="232"/>
      <c r="C49" s="341"/>
      <c r="D49" s="342"/>
      <c r="E49" s="348"/>
      <c r="F49" s="349"/>
      <c r="G49" s="349"/>
      <c r="H49" s="349"/>
      <c r="I49" s="349"/>
      <c r="J49" s="349"/>
      <c r="K49" s="349"/>
      <c r="L49" s="349"/>
      <c r="M49" s="349"/>
      <c r="N49" s="350"/>
      <c r="O49" s="317"/>
      <c r="P49" s="318"/>
      <c r="Q49" s="319"/>
      <c r="R49" s="376"/>
      <c r="S49" s="377"/>
      <c r="T49" s="377"/>
      <c r="U49" s="377"/>
      <c r="V49" s="377"/>
      <c r="W49" s="378"/>
      <c r="X49" s="261"/>
      <c r="Y49" s="261"/>
      <c r="Z49" s="320" t="s">
        <v>38</v>
      </c>
      <c r="AA49" s="321"/>
      <c r="AB49" s="322"/>
      <c r="AC49" s="335">
        <v>0.54166666666666663</v>
      </c>
      <c r="AD49" s="324"/>
      <c r="AE49" s="326" t="s">
        <v>40</v>
      </c>
    </row>
    <row r="50" spans="1:31" ht="11.15" customHeight="1">
      <c r="A50" s="229"/>
      <c r="B50" s="232"/>
      <c r="C50" s="341"/>
      <c r="D50" s="342"/>
      <c r="E50" s="348"/>
      <c r="F50" s="349"/>
      <c r="G50" s="349"/>
      <c r="H50" s="349"/>
      <c r="I50" s="349"/>
      <c r="J50" s="349"/>
      <c r="K50" s="349"/>
      <c r="L50" s="349"/>
      <c r="M50" s="349"/>
      <c r="N50" s="350"/>
      <c r="O50" s="317"/>
      <c r="P50" s="318"/>
      <c r="Q50" s="319"/>
      <c r="R50" s="379"/>
      <c r="S50" s="380"/>
      <c r="T50" s="380"/>
      <c r="U50" s="380"/>
      <c r="V50" s="380"/>
      <c r="W50" s="381"/>
      <c r="X50" s="261"/>
      <c r="Y50" s="261"/>
      <c r="Z50" s="320"/>
      <c r="AA50" s="321"/>
      <c r="AB50" s="322"/>
      <c r="AC50" s="325"/>
      <c r="AD50" s="324"/>
      <c r="AE50" s="326"/>
    </row>
    <row r="51" spans="1:31" ht="11.15" customHeight="1">
      <c r="A51" s="229"/>
      <c r="B51" s="288" t="str">
        <f>TEXT(B47,"(aaa)")</f>
        <v>(日)</v>
      </c>
      <c r="C51" s="341"/>
      <c r="D51" s="342"/>
      <c r="E51" s="348"/>
      <c r="F51" s="349"/>
      <c r="G51" s="349"/>
      <c r="H51" s="349"/>
      <c r="I51" s="349"/>
      <c r="J51" s="349"/>
      <c r="K51" s="349"/>
      <c r="L51" s="349"/>
      <c r="M51" s="349"/>
      <c r="N51" s="350"/>
      <c r="O51" s="317"/>
      <c r="P51" s="318"/>
      <c r="Q51" s="319"/>
      <c r="R51" s="290" t="s">
        <v>18</v>
      </c>
      <c r="S51" s="383" t="s">
        <v>75</v>
      </c>
      <c r="T51" s="384"/>
      <c r="U51" s="384"/>
      <c r="V51" s="384"/>
      <c r="W51" s="385"/>
      <c r="X51" s="261"/>
      <c r="Y51" s="261"/>
      <c r="Z51" s="320" t="s">
        <v>37</v>
      </c>
      <c r="AA51" s="321"/>
      <c r="AB51" s="322"/>
      <c r="AC51" s="335">
        <v>0.79166666666666663</v>
      </c>
      <c r="AD51" s="324"/>
      <c r="AE51" s="326" t="s">
        <v>40</v>
      </c>
    </row>
    <row r="52" spans="1:31" ht="11.15" customHeight="1">
      <c r="A52" s="230"/>
      <c r="B52" s="289"/>
      <c r="C52" s="343"/>
      <c r="D52" s="344"/>
      <c r="E52" s="351"/>
      <c r="F52" s="352"/>
      <c r="G52" s="352"/>
      <c r="H52" s="352"/>
      <c r="I52" s="352"/>
      <c r="J52" s="352"/>
      <c r="K52" s="352"/>
      <c r="L52" s="352"/>
      <c r="M52" s="352"/>
      <c r="N52" s="353"/>
      <c r="O52" s="317"/>
      <c r="P52" s="318"/>
      <c r="Q52" s="319"/>
      <c r="R52" s="382"/>
      <c r="S52" s="386"/>
      <c r="T52" s="387"/>
      <c r="U52" s="387"/>
      <c r="V52" s="387"/>
      <c r="W52" s="388"/>
      <c r="X52" s="262"/>
      <c r="Y52" s="262"/>
      <c r="Z52" s="357"/>
      <c r="AA52" s="358"/>
      <c r="AB52" s="359"/>
      <c r="AC52" s="336"/>
      <c r="AD52" s="337"/>
      <c r="AE52" s="338"/>
    </row>
    <row r="53" spans="1:31" ht="11.15" customHeight="1">
      <c r="A53" s="228">
        <v>8</v>
      </c>
      <c r="B53" s="231">
        <f>B47+1</f>
        <v>46195</v>
      </c>
      <c r="C53" s="339" t="s">
        <v>359</v>
      </c>
      <c r="D53" s="340"/>
      <c r="E53" s="236" t="s">
        <v>360</v>
      </c>
      <c r="F53" s="237"/>
      <c r="G53" s="237"/>
      <c r="H53" s="237"/>
      <c r="I53" s="237"/>
      <c r="J53" s="237"/>
      <c r="K53" s="237"/>
      <c r="L53" s="237"/>
      <c r="M53" s="237"/>
      <c r="N53" s="238"/>
      <c r="O53" s="314" t="s">
        <v>361</v>
      </c>
      <c r="P53" s="315"/>
      <c r="Q53" s="316"/>
      <c r="R53" s="460" t="s">
        <v>136</v>
      </c>
      <c r="S53" s="555"/>
      <c r="T53" s="555"/>
      <c r="U53" s="555"/>
      <c r="V53" s="555"/>
      <c r="W53" s="556"/>
      <c r="X53" s="469" t="s">
        <v>59</v>
      </c>
      <c r="Y53" s="469"/>
      <c r="Z53" s="398" t="s">
        <v>17</v>
      </c>
      <c r="AA53" s="399"/>
      <c r="AB53" s="400"/>
      <c r="AC53" s="394">
        <v>0.28125</v>
      </c>
      <c r="AD53" s="224"/>
      <c r="AE53" s="395"/>
    </row>
    <row r="54" spans="1:31" ht="11.15" customHeight="1">
      <c r="A54" s="229"/>
      <c r="B54" s="232"/>
      <c r="C54" s="341"/>
      <c r="D54" s="342"/>
      <c r="E54" s="239"/>
      <c r="F54" s="240"/>
      <c r="G54" s="240"/>
      <c r="H54" s="240"/>
      <c r="I54" s="240"/>
      <c r="J54" s="240"/>
      <c r="K54" s="240"/>
      <c r="L54" s="240"/>
      <c r="M54" s="240"/>
      <c r="N54" s="241"/>
      <c r="O54" s="317"/>
      <c r="P54" s="318"/>
      <c r="Q54" s="319"/>
      <c r="R54" s="557"/>
      <c r="S54" s="558"/>
      <c r="T54" s="558"/>
      <c r="U54" s="558"/>
      <c r="V54" s="558"/>
      <c r="W54" s="559"/>
      <c r="X54" s="470"/>
      <c r="Y54" s="470"/>
      <c r="Z54" s="320"/>
      <c r="AA54" s="321"/>
      <c r="AB54" s="322"/>
      <c r="AC54" s="214"/>
      <c r="AD54" s="213"/>
      <c r="AE54" s="326"/>
    </row>
    <row r="55" spans="1:31" ht="11.15" customHeight="1">
      <c r="A55" s="229"/>
      <c r="B55" s="232"/>
      <c r="C55" s="341"/>
      <c r="D55" s="342"/>
      <c r="E55" s="239"/>
      <c r="F55" s="240"/>
      <c r="G55" s="240"/>
      <c r="H55" s="240"/>
      <c r="I55" s="240"/>
      <c r="J55" s="240"/>
      <c r="K55" s="240"/>
      <c r="L55" s="240"/>
      <c r="M55" s="240"/>
      <c r="N55" s="241"/>
      <c r="O55" s="317"/>
      <c r="P55" s="318"/>
      <c r="Q55" s="319"/>
      <c r="R55" s="557"/>
      <c r="S55" s="558"/>
      <c r="T55" s="558"/>
      <c r="U55" s="558"/>
      <c r="V55" s="558"/>
      <c r="W55" s="559"/>
      <c r="X55" s="470"/>
      <c r="Y55" s="470"/>
      <c r="Z55" s="571" t="s">
        <v>126</v>
      </c>
      <c r="AA55" s="572"/>
      <c r="AB55" s="573"/>
      <c r="AC55" s="484">
        <v>0.52777777777777779</v>
      </c>
      <c r="AD55" s="481"/>
      <c r="AE55" s="483" t="s">
        <v>63</v>
      </c>
    </row>
    <row r="56" spans="1:31" ht="11.15" customHeight="1">
      <c r="A56" s="229"/>
      <c r="B56" s="232"/>
      <c r="C56" s="341"/>
      <c r="D56" s="342"/>
      <c r="E56" s="239"/>
      <c r="F56" s="240"/>
      <c r="G56" s="240"/>
      <c r="H56" s="240"/>
      <c r="I56" s="240"/>
      <c r="J56" s="240"/>
      <c r="K56" s="240"/>
      <c r="L56" s="240"/>
      <c r="M56" s="240"/>
      <c r="N56" s="241"/>
      <c r="O56" s="317"/>
      <c r="P56" s="318"/>
      <c r="Q56" s="319"/>
      <c r="R56" s="560"/>
      <c r="S56" s="561"/>
      <c r="T56" s="561"/>
      <c r="U56" s="561"/>
      <c r="V56" s="561"/>
      <c r="W56" s="562"/>
      <c r="X56" s="470"/>
      <c r="Y56" s="470"/>
      <c r="Z56" s="571"/>
      <c r="AA56" s="572"/>
      <c r="AB56" s="573"/>
      <c r="AC56" s="480"/>
      <c r="AD56" s="481"/>
      <c r="AE56" s="483"/>
    </row>
    <row r="57" spans="1:31" ht="11.15" customHeight="1">
      <c r="A57" s="229"/>
      <c r="B57" s="288" t="str">
        <f>TEXT(B53,"(aaa)")</f>
        <v>(月)</v>
      </c>
      <c r="C57" s="341"/>
      <c r="D57" s="342"/>
      <c r="E57" s="239"/>
      <c r="F57" s="240"/>
      <c r="G57" s="240"/>
      <c r="H57" s="240"/>
      <c r="I57" s="240"/>
      <c r="J57" s="240"/>
      <c r="K57" s="240"/>
      <c r="L57" s="240"/>
      <c r="M57" s="240"/>
      <c r="N57" s="241"/>
      <c r="O57" s="317"/>
      <c r="P57" s="318"/>
      <c r="Q57" s="319"/>
      <c r="R57" s="487" t="s">
        <v>137</v>
      </c>
      <c r="S57" s="489" t="s">
        <v>138</v>
      </c>
      <c r="T57" s="565"/>
      <c r="U57" s="565"/>
      <c r="V57" s="565"/>
      <c r="W57" s="566"/>
      <c r="X57" s="470"/>
      <c r="Y57" s="470"/>
      <c r="Z57" s="475" t="s">
        <v>143</v>
      </c>
      <c r="AA57" s="476"/>
      <c r="AB57" s="477"/>
      <c r="AC57" s="484">
        <v>0.79166666666666663</v>
      </c>
      <c r="AD57" s="481"/>
      <c r="AE57" s="483" t="s">
        <v>144</v>
      </c>
    </row>
    <row r="58" spans="1:31" ht="11.15" customHeight="1">
      <c r="A58" s="230"/>
      <c r="B58" s="289"/>
      <c r="C58" s="343"/>
      <c r="D58" s="344"/>
      <c r="E58" s="242"/>
      <c r="F58" s="243"/>
      <c r="G58" s="243"/>
      <c r="H58" s="243"/>
      <c r="I58" s="243"/>
      <c r="J58" s="243"/>
      <c r="K58" s="243"/>
      <c r="L58" s="243"/>
      <c r="M58" s="243"/>
      <c r="N58" s="244"/>
      <c r="O58" s="317"/>
      <c r="P58" s="318"/>
      <c r="Q58" s="319"/>
      <c r="R58" s="563"/>
      <c r="S58" s="567"/>
      <c r="T58" s="568"/>
      <c r="U58" s="568"/>
      <c r="V58" s="568"/>
      <c r="W58" s="569"/>
      <c r="X58" s="471"/>
      <c r="Y58" s="471"/>
      <c r="Z58" s="495"/>
      <c r="AA58" s="496"/>
      <c r="AB58" s="497"/>
      <c r="AC58" s="498"/>
      <c r="AD58" s="499"/>
      <c r="AE58" s="500"/>
    </row>
    <row r="59" spans="1:31" ht="11.15" customHeight="1">
      <c r="A59" s="435">
        <v>9</v>
      </c>
      <c r="B59" s="501">
        <f>B53+1</f>
        <v>46196</v>
      </c>
      <c r="C59" s="543" t="s">
        <v>115</v>
      </c>
      <c r="D59" s="544"/>
      <c r="E59" s="574" t="s">
        <v>349</v>
      </c>
      <c r="F59" s="575"/>
      <c r="G59" s="575"/>
      <c r="H59" s="575"/>
      <c r="I59" s="575"/>
      <c r="J59" s="575"/>
      <c r="K59" s="575"/>
      <c r="L59" s="575"/>
      <c r="M59" s="575"/>
      <c r="N59" s="576"/>
      <c r="O59" s="532"/>
      <c r="P59" s="533"/>
      <c r="Q59" s="534"/>
      <c r="R59" s="460" t="s">
        <v>121</v>
      </c>
      <c r="S59" s="555"/>
      <c r="T59" s="555"/>
      <c r="U59" s="555"/>
      <c r="V59" s="555"/>
      <c r="W59" s="556"/>
      <c r="X59" s="469" t="s">
        <v>59</v>
      </c>
      <c r="Y59" s="469"/>
      <c r="Z59" s="472" t="s">
        <v>17</v>
      </c>
      <c r="AA59" s="473"/>
      <c r="AB59" s="474"/>
      <c r="AC59" s="570">
        <v>0.29166666666666669</v>
      </c>
      <c r="AD59" s="479"/>
      <c r="AE59" s="482"/>
    </row>
    <row r="60" spans="1:31" ht="11.15" customHeight="1">
      <c r="A60" s="436"/>
      <c r="B60" s="438"/>
      <c r="C60" s="545"/>
      <c r="D60" s="546"/>
      <c r="E60" s="577"/>
      <c r="F60" s="578"/>
      <c r="G60" s="578"/>
      <c r="H60" s="578"/>
      <c r="I60" s="578"/>
      <c r="J60" s="578"/>
      <c r="K60" s="578"/>
      <c r="L60" s="578"/>
      <c r="M60" s="578"/>
      <c r="N60" s="579"/>
      <c r="O60" s="535"/>
      <c r="P60" s="536"/>
      <c r="Q60" s="537"/>
      <c r="R60" s="557"/>
      <c r="S60" s="558"/>
      <c r="T60" s="558"/>
      <c r="U60" s="558"/>
      <c r="V60" s="558"/>
      <c r="W60" s="559"/>
      <c r="X60" s="470"/>
      <c r="Y60" s="470"/>
      <c r="Z60" s="475"/>
      <c r="AA60" s="476"/>
      <c r="AB60" s="477"/>
      <c r="AC60" s="480"/>
      <c r="AD60" s="481"/>
      <c r="AE60" s="483"/>
    </row>
    <row r="61" spans="1:31" ht="11.15" customHeight="1">
      <c r="A61" s="436"/>
      <c r="B61" s="438"/>
      <c r="C61" s="545"/>
      <c r="D61" s="546"/>
      <c r="E61" s="577"/>
      <c r="F61" s="578"/>
      <c r="G61" s="578"/>
      <c r="H61" s="578"/>
      <c r="I61" s="578"/>
      <c r="J61" s="578"/>
      <c r="K61" s="578"/>
      <c r="L61" s="578"/>
      <c r="M61" s="578"/>
      <c r="N61" s="579"/>
      <c r="O61" s="535"/>
      <c r="P61" s="536"/>
      <c r="Q61" s="537"/>
      <c r="R61" s="557"/>
      <c r="S61" s="558"/>
      <c r="T61" s="558"/>
      <c r="U61" s="558"/>
      <c r="V61" s="558"/>
      <c r="W61" s="559"/>
      <c r="X61" s="470"/>
      <c r="Y61" s="470"/>
      <c r="Z61" s="475" t="s">
        <v>65</v>
      </c>
      <c r="AA61" s="476"/>
      <c r="AB61" s="477"/>
      <c r="AC61" s="484">
        <v>0.52083333333333337</v>
      </c>
      <c r="AD61" s="481"/>
      <c r="AE61" s="483" t="s">
        <v>64</v>
      </c>
    </row>
    <row r="62" spans="1:31" ht="11.15" customHeight="1">
      <c r="A62" s="436"/>
      <c r="B62" s="438"/>
      <c r="C62" s="545"/>
      <c r="D62" s="546"/>
      <c r="E62" s="577"/>
      <c r="F62" s="578"/>
      <c r="G62" s="578"/>
      <c r="H62" s="578"/>
      <c r="I62" s="578"/>
      <c r="J62" s="578"/>
      <c r="K62" s="578"/>
      <c r="L62" s="578"/>
      <c r="M62" s="578"/>
      <c r="N62" s="579"/>
      <c r="O62" s="535"/>
      <c r="P62" s="536"/>
      <c r="Q62" s="537"/>
      <c r="R62" s="560"/>
      <c r="S62" s="561"/>
      <c r="T62" s="561"/>
      <c r="U62" s="561"/>
      <c r="V62" s="561"/>
      <c r="W62" s="562"/>
      <c r="X62" s="470"/>
      <c r="Y62" s="470"/>
      <c r="Z62" s="475"/>
      <c r="AA62" s="476"/>
      <c r="AB62" s="477"/>
      <c r="AC62" s="480"/>
      <c r="AD62" s="481"/>
      <c r="AE62" s="483"/>
    </row>
    <row r="63" spans="1:31" ht="11.15" customHeight="1">
      <c r="A63" s="436"/>
      <c r="B63" s="485" t="str">
        <f>TEXT(B59,"(aaa)")</f>
        <v>(火)</v>
      </c>
      <c r="C63" s="545"/>
      <c r="D63" s="546"/>
      <c r="E63" s="577"/>
      <c r="F63" s="578"/>
      <c r="G63" s="578"/>
      <c r="H63" s="578"/>
      <c r="I63" s="578"/>
      <c r="J63" s="578"/>
      <c r="K63" s="578"/>
      <c r="L63" s="578"/>
      <c r="M63" s="578"/>
      <c r="N63" s="579"/>
      <c r="O63" s="535"/>
      <c r="P63" s="536"/>
      <c r="Q63" s="537"/>
      <c r="R63" s="487" t="s">
        <v>76</v>
      </c>
      <c r="S63" s="489" t="s">
        <v>120</v>
      </c>
      <c r="T63" s="565"/>
      <c r="U63" s="565"/>
      <c r="V63" s="565"/>
      <c r="W63" s="566"/>
      <c r="X63" s="470"/>
      <c r="Y63" s="470"/>
      <c r="Z63" s="475" t="s">
        <v>146</v>
      </c>
      <c r="AA63" s="476"/>
      <c r="AB63" s="477"/>
      <c r="AC63" s="484">
        <v>0.79166666666666663</v>
      </c>
      <c r="AD63" s="481"/>
      <c r="AE63" s="483" t="s">
        <v>27</v>
      </c>
    </row>
    <row r="64" spans="1:31" ht="11.15" customHeight="1">
      <c r="A64" s="437"/>
      <c r="B64" s="486"/>
      <c r="C64" s="547"/>
      <c r="D64" s="548"/>
      <c r="E64" s="580"/>
      <c r="F64" s="581"/>
      <c r="G64" s="581"/>
      <c r="H64" s="581"/>
      <c r="I64" s="581"/>
      <c r="J64" s="581"/>
      <c r="K64" s="581"/>
      <c r="L64" s="581"/>
      <c r="M64" s="581"/>
      <c r="N64" s="582"/>
      <c r="O64" s="535"/>
      <c r="P64" s="536"/>
      <c r="Q64" s="537"/>
      <c r="R64" s="563"/>
      <c r="S64" s="567"/>
      <c r="T64" s="568"/>
      <c r="U64" s="568"/>
      <c r="V64" s="568"/>
      <c r="W64" s="569"/>
      <c r="X64" s="471"/>
      <c r="Y64" s="471"/>
      <c r="Z64" s="495"/>
      <c r="AA64" s="496"/>
      <c r="AB64" s="497"/>
      <c r="AC64" s="498"/>
      <c r="AD64" s="499"/>
      <c r="AE64" s="500"/>
    </row>
    <row r="65" spans="1:31" ht="11.15" customHeight="1">
      <c r="A65" s="435">
        <v>10</v>
      </c>
      <c r="B65" s="501">
        <f t="shared" ref="B65" si="0">B59+1</f>
        <v>46197</v>
      </c>
      <c r="C65" s="543" t="s">
        <v>115</v>
      </c>
      <c r="D65" s="544"/>
      <c r="E65" s="523" t="s">
        <v>350</v>
      </c>
      <c r="F65" s="524"/>
      <c r="G65" s="524"/>
      <c r="H65" s="524"/>
      <c r="I65" s="524"/>
      <c r="J65" s="524"/>
      <c r="K65" s="524"/>
      <c r="L65" s="524"/>
      <c r="M65" s="524"/>
      <c r="N65" s="525"/>
      <c r="O65" s="532" t="s">
        <v>333</v>
      </c>
      <c r="P65" s="533"/>
      <c r="Q65" s="534"/>
      <c r="R65" s="460" t="s">
        <v>121</v>
      </c>
      <c r="S65" s="555"/>
      <c r="T65" s="555"/>
      <c r="U65" s="555"/>
      <c r="V65" s="555"/>
      <c r="W65" s="556"/>
      <c r="X65" s="469" t="s">
        <v>59</v>
      </c>
      <c r="Y65" s="469"/>
      <c r="Z65" s="472" t="s">
        <v>17</v>
      </c>
      <c r="AA65" s="473"/>
      <c r="AB65" s="474"/>
      <c r="AC65" s="520">
        <v>0.27083333333333331</v>
      </c>
      <c r="AD65" s="521"/>
      <c r="AE65" s="482"/>
    </row>
    <row r="66" spans="1:31" ht="11.15" customHeight="1">
      <c r="A66" s="436"/>
      <c r="B66" s="438"/>
      <c r="C66" s="545"/>
      <c r="D66" s="546"/>
      <c r="E66" s="526"/>
      <c r="F66" s="527"/>
      <c r="G66" s="527"/>
      <c r="H66" s="527"/>
      <c r="I66" s="527"/>
      <c r="J66" s="527"/>
      <c r="K66" s="527"/>
      <c r="L66" s="527"/>
      <c r="M66" s="527"/>
      <c r="N66" s="528"/>
      <c r="O66" s="535"/>
      <c r="P66" s="536"/>
      <c r="Q66" s="537"/>
      <c r="R66" s="557"/>
      <c r="S66" s="558"/>
      <c r="T66" s="558"/>
      <c r="U66" s="558"/>
      <c r="V66" s="558"/>
      <c r="W66" s="559"/>
      <c r="X66" s="470"/>
      <c r="Y66" s="470"/>
      <c r="Z66" s="475"/>
      <c r="AA66" s="476"/>
      <c r="AB66" s="477"/>
      <c r="AC66" s="480"/>
      <c r="AD66" s="481"/>
      <c r="AE66" s="483"/>
    </row>
    <row r="67" spans="1:31" ht="11.15" customHeight="1">
      <c r="A67" s="436"/>
      <c r="B67" s="438"/>
      <c r="C67" s="545"/>
      <c r="D67" s="546"/>
      <c r="E67" s="526"/>
      <c r="F67" s="527"/>
      <c r="G67" s="527"/>
      <c r="H67" s="527"/>
      <c r="I67" s="527"/>
      <c r="J67" s="527"/>
      <c r="K67" s="527"/>
      <c r="L67" s="527"/>
      <c r="M67" s="527"/>
      <c r="N67" s="528"/>
      <c r="O67" s="535"/>
      <c r="P67" s="536"/>
      <c r="Q67" s="537"/>
      <c r="R67" s="557"/>
      <c r="S67" s="558"/>
      <c r="T67" s="558"/>
      <c r="U67" s="558"/>
      <c r="V67" s="558"/>
      <c r="W67" s="559"/>
      <c r="X67" s="470"/>
      <c r="Y67" s="470"/>
      <c r="Z67" s="475" t="s">
        <v>80</v>
      </c>
      <c r="AA67" s="476"/>
      <c r="AB67" s="477"/>
      <c r="AC67" s="542" t="s">
        <v>36</v>
      </c>
      <c r="AD67" s="481"/>
      <c r="AE67" s="483"/>
    </row>
    <row r="68" spans="1:31" ht="11.15" customHeight="1">
      <c r="A68" s="436"/>
      <c r="B68" s="438"/>
      <c r="C68" s="545"/>
      <c r="D68" s="546"/>
      <c r="E68" s="526"/>
      <c r="F68" s="527"/>
      <c r="G68" s="527"/>
      <c r="H68" s="527"/>
      <c r="I68" s="527"/>
      <c r="J68" s="527"/>
      <c r="K68" s="527"/>
      <c r="L68" s="527"/>
      <c r="M68" s="527"/>
      <c r="N68" s="528"/>
      <c r="O68" s="535"/>
      <c r="P68" s="536"/>
      <c r="Q68" s="537"/>
      <c r="R68" s="560"/>
      <c r="S68" s="561"/>
      <c r="T68" s="561"/>
      <c r="U68" s="561"/>
      <c r="V68" s="561"/>
      <c r="W68" s="562"/>
      <c r="X68" s="470"/>
      <c r="Y68" s="470"/>
      <c r="Z68" s="475"/>
      <c r="AA68" s="476"/>
      <c r="AB68" s="477"/>
      <c r="AC68" s="480"/>
      <c r="AD68" s="481"/>
      <c r="AE68" s="483"/>
    </row>
    <row r="69" spans="1:31" ht="11.15" customHeight="1">
      <c r="A69" s="436"/>
      <c r="B69" s="485" t="str">
        <f>TEXT(B65,"(aaa)")</f>
        <v>(水)</v>
      </c>
      <c r="C69" s="545"/>
      <c r="D69" s="546"/>
      <c r="E69" s="526"/>
      <c r="F69" s="527"/>
      <c r="G69" s="527"/>
      <c r="H69" s="527"/>
      <c r="I69" s="527"/>
      <c r="J69" s="527"/>
      <c r="K69" s="527"/>
      <c r="L69" s="527"/>
      <c r="M69" s="527"/>
      <c r="N69" s="528"/>
      <c r="O69" s="535"/>
      <c r="P69" s="536"/>
      <c r="Q69" s="537"/>
      <c r="R69" s="487" t="s">
        <v>76</v>
      </c>
      <c r="S69" s="489" t="s">
        <v>120</v>
      </c>
      <c r="T69" s="565"/>
      <c r="U69" s="565"/>
      <c r="V69" s="565"/>
      <c r="W69" s="566"/>
      <c r="X69" s="470"/>
      <c r="Y69" s="470"/>
      <c r="Z69" s="475" t="s">
        <v>151</v>
      </c>
      <c r="AA69" s="476"/>
      <c r="AB69" s="477"/>
      <c r="AC69" s="484">
        <v>0.79166666666666663</v>
      </c>
      <c r="AD69" s="481"/>
      <c r="AE69" s="483" t="s">
        <v>147</v>
      </c>
    </row>
    <row r="70" spans="1:31" ht="11.15" customHeight="1">
      <c r="A70" s="437"/>
      <c r="B70" s="486"/>
      <c r="C70" s="547"/>
      <c r="D70" s="548"/>
      <c r="E70" s="529"/>
      <c r="F70" s="530"/>
      <c r="G70" s="530"/>
      <c r="H70" s="530"/>
      <c r="I70" s="530"/>
      <c r="J70" s="530"/>
      <c r="K70" s="530"/>
      <c r="L70" s="530"/>
      <c r="M70" s="530"/>
      <c r="N70" s="531"/>
      <c r="O70" s="535"/>
      <c r="P70" s="536"/>
      <c r="Q70" s="537"/>
      <c r="R70" s="563"/>
      <c r="S70" s="567"/>
      <c r="T70" s="568"/>
      <c r="U70" s="568"/>
      <c r="V70" s="568"/>
      <c r="W70" s="569"/>
      <c r="X70" s="471"/>
      <c r="Y70" s="471"/>
      <c r="Z70" s="495"/>
      <c r="AA70" s="496"/>
      <c r="AB70" s="497"/>
      <c r="AC70" s="498"/>
      <c r="AD70" s="499"/>
      <c r="AE70" s="500"/>
    </row>
    <row r="71" spans="1:31" ht="11.15" customHeight="1">
      <c r="A71" s="435">
        <v>11</v>
      </c>
      <c r="B71" s="501">
        <f t="shared" ref="B71" si="1">B65+1</f>
        <v>46198</v>
      </c>
      <c r="C71" s="543" t="s">
        <v>115</v>
      </c>
      <c r="D71" s="544"/>
      <c r="E71" s="523" t="s">
        <v>351</v>
      </c>
      <c r="F71" s="524"/>
      <c r="G71" s="524"/>
      <c r="H71" s="524"/>
      <c r="I71" s="524"/>
      <c r="J71" s="524"/>
      <c r="K71" s="524"/>
      <c r="L71" s="524"/>
      <c r="M71" s="524"/>
      <c r="N71" s="525"/>
      <c r="O71" s="583" t="s">
        <v>172</v>
      </c>
      <c r="P71" s="584"/>
      <c r="Q71" s="585"/>
      <c r="R71" s="592" t="s">
        <v>62</v>
      </c>
      <c r="S71" s="461"/>
      <c r="T71" s="461"/>
      <c r="U71" s="461"/>
      <c r="V71" s="461"/>
      <c r="W71" s="462"/>
      <c r="X71" s="424"/>
      <c r="Y71" s="425"/>
      <c r="Z71" s="517" t="s">
        <v>17</v>
      </c>
      <c r="AA71" s="518"/>
      <c r="AB71" s="519"/>
      <c r="AC71" s="520">
        <v>0.27083333333333331</v>
      </c>
      <c r="AD71" s="521"/>
      <c r="AE71" s="522"/>
    </row>
    <row r="72" spans="1:31" ht="11.15" customHeight="1">
      <c r="A72" s="436"/>
      <c r="B72" s="438"/>
      <c r="C72" s="545"/>
      <c r="D72" s="546"/>
      <c r="E72" s="526"/>
      <c r="F72" s="527"/>
      <c r="G72" s="527"/>
      <c r="H72" s="527"/>
      <c r="I72" s="527"/>
      <c r="J72" s="527"/>
      <c r="K72" s="527"/>
      <c r="L72" s="527"/>
      <c r="M72" s="527"/>
      <c r="N72" s="528"/>
      <c r="O72" s="586"/>
      <c r="P72" s="587"/>
      <c r="Q72" s="588"/>
      <c r="R72" s="463"/>
      <c r="S72" s="464"/>
      <c r="T72" s="464"/>
      <c r="U72" s="464"/>
      <c r="V72" s="464"/>
      <c r="W72" s="465"/>
      <c r="X72" s="426"/>
      <c r="Y72" s="426"/>
      <c r="Z72" s="475"/>
      <c r="AA72" s="476"/>
      <c r="AB72" s="477"/>
      <c r="AC72" s="480"/>
      <c r="AD72" s="481"/>
      <c r="AE72" s="483"/>
    </row>
    <row r="73" spans="1:31" ht="11.15" customHeight="1">
      <c r="A73" s="436"/>
      <c r="B73" s="438"/>
      <c r="C73" s="545"/>
      <c r="D73" s="546"/>
      <c r="E73" s="526"/>
      <c r="F73" s="527"/>
      <c r="G73" s="527"/>
      <c r="H73" s="527"/>
      <c r="I73" s="527"/>
      <c r="J73" s="527"/>
      <c r="K73" s="527"/>
      <c r="L73" s="527"/>
      <c r="M73" s="527"/>
      <c r="N73" s="528"/>
      <c r="O73" s="586"/>
      <c r="P73" s="587"/>
      <c r="Q73" s="588"/>
      <c r="R73" s="463"/>
      <c r="S73" s="464"/>
      <c r="T73" s="464"/>
      <c r="U73" s="464"/>
      <c r="V73" s="464"/>
      <c r="W73" s="465"/>
      <c r="X73" s="427"/>
      <c r="Y73" s="427"/>
      <c r="Z73" s="475" t="s">
        <v>43</v>
      </c>
      <c r="AA73" s="476"/>
      <c r="AB73" s="477"/>
      <c r="AC73" s="542" t="s">
        <v>36</v>
      </c>
      <c r="AD73" s="481"/>
      <c r="AE73" s="483"/>
    </row>
    <row r="74" spans="1:31" ht="11.15" customHeight="1">
      <c r="A74" s="436"/>
      <c r="B74" s="438"/>
      <c r="C74" s="545"/>
      <c r="D74" s="546"/>
      <c r="E74" s="429" t="s">
        <v>79</v>
      </c>
      <c r="F74" s="430"/>
      <c r="G74" s="430"/>
      <c r="H74" s="430"/>
      <c r="I74" s="430"/>
      <c r="J74" s="430"/>
      <c r="K74" s="430"/>
      <c r="L74" s="430"/>
      <c r="M74" s="430"/>
      <c r="N74" s="431"/>
      <c r="O74" s="586"/>
      <c r="P74" s="587"/>
      <c r="Q74" s="588"/>
      <c r="R74" s="466"/>
      <c r="S74" s="467"/>
      <c r="T74" s="467"/>
      <c r="U74" s="467"/>
      <c r="V74" s="467"/>
      <c r="W74" s="468"/>
      <c r="X74" s="427"/>
      <c r="Y74" s="427"/>
      <c r="Z74" s="475"/>
      <c r="AA74" s="476"/>
      <c r="AB74" s="477"/>
      <c r="AC74" s="480"/>
      <c r="AD74" s="481"/>
      <c r="AE74" s="483"/>
    </row>
    <row r="75" spans="1:31" ht="11.15" customHeight="1">
      <c r="A75" s="436"/>
      <c r="B75" s="485" t="str">
        <f>TEXT(B71,"(aaa)")</f>
        <v>(木)</v>
      </c>
      <c r="C75" s="545"/>
      <c r="D75" s="546"/>
      <c r="E75" s="429"/>
      <c r="F75" s="430"/>
      <c r="G75" s="430"/>
      <c r="H75" s="430"/>
      <c r="I75" s="430"/>
      <c r="J75" s="430"/>
      <c r="K75" s="430"/>
      <c r="L75" s="430"/>
      <c r="M75" s="430"/>
      <c r="N75" s="431"/>
      <c r="O75" s="586"/>
      <c r="P75" s="587"/>
      <c r="Q75" s="588"/>
      <c r="R75" s="566"/>
      <c r="S75" s="489"/>
      <c r="T75" s="490"/>
      <c r="U75" s="490"/>
      <c r="V75" s="490"/>
      <c r="W75" s="491"/>
      <c r="X75" s="427"/>
      <c r="Y75" s="427"/>
      <c r="Z75" s="475" t="s">
        <v>44</v>
      </c>
      <c r="AA75" s="476"/>
      <c r="AB75" s="477"/>
      <c r="AC75" s="542" t="s">
        <v>36</v>
      </c>
      <c r="AD75" s="481"/>
      <c r="AE75" s="483"/>
    </row>
    <row r="76" spans="1:31" ht="11.15" customHeight="1">
      <c r="A76" s="437"/>
      <c r="B76" s="486"/>
      <c r="C76" s="547"/>
      <c r="D76" s="548"/>
      <c r="E76" s="432"/>
      <c r="F76" s="433"/>
      <c r="G76" s="433"/>
      <c r="H76" s="433"/>
      <c r="I76" s="433"/>
      <c r="J76" s="433"/>
      <c r="K76" s="433"/>
      <c r="L76" s="433"/>
      <c r="M76" s="433"/>
      <c r="N76" s="434"/>
      <c r="O76" s="589"/>
      <c r="P76" s="590"/>
      <c r="Q76" s="591"/>
      <c r="R76" s="494"/>
      <c r="S76" s="492"/>
      <c r="T76" s="493"/>
      <c r="U76" s="493"/>
      <c r="V76" s="493"/>
      <c r="W76" s="494"/>
      <c r="X76" s="428"/>
      <c r="Y76" s="428"/>
      <c r="Z76" s="495"/>
      <c r="AA76" s="496"/>
      <c r="AB76" s="497"/>
      <c r="AC76" s="498"/>
      <c r="AD76" s="499"/>
      <c r="AE76" s="500"/>
    </row>
    <row r="77" spans="1:31" ht="15" customHeight="1">
      <c r="A77" s="136" t="s">
        <v>47</v>
      </c>
      <c r="B77" s="12"/>
      <c r="C77" s="6"/>
      <c r="D77" s="6"/>
      <c r="E77" s="13"/>
      <c r="F77" s="13"/>
      <c r="G77" s="13"/>
      <c r="H77" s="13"/>
      <c r="I77" s="13"/>
      <c r="J77" s="13"/>
      <c r="K77" s="13"/>
      <c r="L77" s="13"/>
      <c r="M77" s="13"/>
      <c r="N77" s="13"/>
      <c r="O77" s="2"/>
      <c r="P77" s="2"/>
      <c r="Q77" s="2"/>
      <c r="R77" s="14"/>
      <c r="S77" s="15"/>
      <c r="T77" s="15"/>
      <c r="U77" s="17"/>
      <c r="V77" s="15"/>
      <c r="W77" s="15"/>
      <c r="X77" s="17"/>
      <c r="Y77" s="129"/>
      <c r="Z77" s="130"/>
      <c r="AA77" s="130"/>
      <c r="AB77" s="130"/>
      <c r="AC77" s="131"/>
      <c r="AD77" s="131"/>
      <c r="AE77" s="18"/>
    </row>
    <row r="78" spans="1:31" ht="15" customHeight="1">
      <c r="A78" s="137" t="s">
        <v>34</v>
      </c>
      <c r="B78" s="12"/>
      <c r="C78" s="6"/>
      <c r="D78" s="6"/>
      <c r="E78" s="13"/>
      <c r="F78" s="13"/>
      <c r="G78" s="13"/>
      <c r="H78" s="13"/>
      <c r="I78" s="13"/>
      <c r="J78" s="13"/>
      <c r="K78" s="13"/>
      <c r="L78" s="13"/>
      <c r="M78" s="13"/>
      <c r="N78" s="13"/>
      <c r="O78" s="2"/>
      <c r="P78" s="2"/>
      <c r="Q78" s="2"/>
      <c r="R78" s="14"/>
      <c r="S78" s="15"/>
      <c r="T78" s="15"/>
      <c r="U78" s="132"/>
      <c r="V78" s="15"/>
      <c r="W78" s="15"/>
      <c r="X78" s="17"/>
      <c r="Y78" s="129"/>
      <c r="Z78" s="133"/>
      <c r="AA78" s="130"/>
      <c r="AB78" s="130"/>
      <c r="AC78" s="131"/>
      <c r="AD78" s="131"/>
      <c r="AE78" s="18"/>
    </row>
    <row r="79" spans="1:31" ht="15" customHeight="1">
      <c r="A79" s="137" t="s">
        <v>35</v>
      </c>
      <c r="B79" s="12"/>
      <c r="C79" s="6"/>
      <c r="D79" s="6"/>
      <c r="E79" s="13"/>
      <c r="F79" s="13"/>
      <c r="G79" s="13"/>
      <c r="H79" s="13"/>
      <c r="I79" s="13"/>
      <c r="J79" s="13"/>
      <c r="K79" s="13"/>
      <c r="L79" s="13"/>
      <c r="M79" s="13"/>
      <c r="N79" s="13"/>
      <c r="O79" s="2"/>
      <c r="P79" s="2"/>
      <c r="Q79" s="2"/>
      <c r="R79" s="14"/>
      <c r="S79" s="15"/>
      <c r="T79" s="15"/>
      <c r="U79" s="121"/>
      <c r="V79" s="19"/>
      <c r="W79" s="19"/>
      <c r="X79" s="17"/>
      <c r="Y79" s="19"/>
      <c r="Z79" s="19"/>
      <c r="AA79" s="19"/>
      <c r="AB79" s="19"/>
      <c r="AC79" s="19"/>
      <c r="AD79" s="19"/>
      <c r="AE79" s="18"/>
    </row>
    <row r="80" spans="1:31" ht="15" customHeight="1">
      <c r="A80" s="16" t="s">
        <v>46</v>
      </c>
      <c r="B80" s="20"/>
      <c r="C80" s="6"/>
      <c r="D80" s="6"/>
      <c r="E80" s="13"/>
      <c r="F80" s="13"/>
      <c r="G80" s="13"/>
      <c r="H80" s="13"/>
      <c r="I80" s="13"/>
      <c r="J80" s="13"/>
      <c r="K80" s="2"/>
      <c r="L80" s="21"/>
      <c r="M80" s="13"/>
      <c r="N80" s="13"/>
      <c r="O80" s="2"/>
      <c r="P80" s="2"/>
      <c r="Q80" s="2"/>
      <c r="R80" s="14"/>
      <c r="S80" s="15"/>
      <c r="T80" s="15"/>
      <c r="U80" s="17"/>
      <c r="V80" s="15"/>
      <c r="W80" s="19"/>
      <c r="X80" s="19"/>
      <c r="Y80" s="19"/>
      <c r="Z80" s="19"/>
      <c r="AA80" s="19"/>
      <c r="AB80" s="19"/>
      <c r="AC80" s="19"/>
      <c r="AD80" s="19"/>
      <c r="AE80" s="18"/>
    </row>
    <row r="81" spans="1:31" ht="15" customHeight="1">
      <c r="A81" s="22"/>
      <c r="B81" s="110" t="s">
        <v>133</v>
      </c>
      <c r="C81" s="8"/>
      <c r="D81" s="23"/>
      <c r="E81" s="23"/>
      <c r="F81" s="24"/>
      <c r="G81" s="111"/>
      <c r="H81" s="111"/>
      <c r="I81" s="111"/>
      <c r="J81" s="24" t="s">
        <v>135</v>
      </c>
      <c r="K81" s="2"/>
      <c r="L81" s="112"/>
      <c r="M81" s="113"/>
      <c r="N81" s="110"/>
      <c r="O81" s="2"/>
      <c r="P81" s="110"/>
      <c r="Q81" s="119" t="s">
        <v>134</v>
      </c>
      <c r="R81" s="15"/>
      <c r="S81" s="15"/>
      <c r="T81" s="15"/>
      <c r="U81" s="15"/>
      <c r="V81" s="26"/>
      <c r="W81" s="19"/>
      <c r="X81" s="19"/>
      <c r="Y81" s="19"/>
      <c r="Z81" s="19"/>
      <c r="AA81" s="27"/>
      <c r="AB81" s="14"/>
      <c r="AC81" s="15"/>
      <c r="AD81" s="15"/>
      <c r="AE81" s="107"/>
    </row>
    <row r="82" spans="1:31" ht="15" customHeight="1">
      <c r="A82" s="126"/>
      <c r="B82" s="109"/>
      <c r="C82" s="27"/>
      <c r="D82" s="6"/>
      <c r="E82" s="13"/>
      <c r="F82" s="13"/>
      <c r="G82" s="13"/>
      <c r="H82" s="21"/>
      <c r="I82" s="21"/>
      <c r="J82" s="128"/>
      <c r="K82" s="13"/>
      <c r="L82" s="13"/>
      <c r="M82" s="13"/>
      <c r="N82" s="13"/>
      <c r="O82" s="2"/>
      <c r="P82" s="27"/>
      <c r="Q82" s="27"/>
      <c r="R82" s="27"/>
      <c r="S82" s="14"/>
      <c r="T82" s="15"/>
      <c r="U82" s="120"/>
      <c r="V82" s="30"/>
      <c r="W82" s="120" t="s">
        <v>149</v>
      </c>
      <c r="X82" s="30"/>
      <c r="Z82" s="30"/>
      <c r="AA82" s="27"/>
      <c r="AB82" s="14"/>
      <c r="AC82" s="15"/>
      <c r="AD82" s="15"/>
      <c r="AE82" s="107"/>
    </row>
    <row r="83" spans="1:31" ht="15" customHeight="1">
      <c r="A83" s="127"/>
      <c r="B83" s="31"/>
      <c r="C83" s="19"/>
      <c r="D83" s="19"/>
      <c r="E83" s="19"/>
      <c r="F83" s="19"/>
      <c r="G83" s="19"/>
      <c r="H83" s="19"/>
      <c r="I83" s="19"/>
      <c r="J83" s="25"/>
      <c r="K83" s="25"/>
      <c r="L83" s="25"/>
      <c r="M83" s="25"/>
      <c r="N83" s="25"/>
      <c r="O83" s="28"/>
      <c r="P83" s="28"/>
      <c r="Q83" s="28"/>
      <c r="R83" s="29"/>
      <c r="S83" s="15"/>
      <c r="T83" s="15"/>
      <c r="U83" s="120"/>
      <c r="V83" s="19"/>
      <c r="W83" s="120" t="s">
        <v>150</v>
      </c>
      <c r="X83" s="19"/>
      <c r="Z83" s="19"/>
      <c r="AA83" s="19"/>
      <c r="AB83" s="19"/>
      <c r="AC83" s="19"/>
      <c r="AD83" s="19"/>
      <c r="AE83" s="32"/>
    </row>
    <row r="84" spans="1:31" ht="15" customHeight="1">
      <c r="A84" s="137" t="s">
        <v>174</v>
      </c>
      <c r="B84" s="31"/>
      <c r="C84" s="19"/>
      <c r="D84" s="19"/>
      <c r="E84" s="19"/>
      <c r="F84" s="19"/>
      <c r="G84" s="19"/>
      <c r="H84" s="19"/>
      <c r="I84" s="19"/>
      <c r="J84" s="25"/>
      <c r="K84" s="25"/>
      <c r="L84" s="25"/>
      <c r="M84" s="25"/>
      <c r="N84" s="25"/>
      <c r="O84" s="28"/>
      <c r="P84" s="28"/>
      <c r="Q84" s="28"/>
      <c r="R84" s="29"/>
      <c r="S84" s="15"/>
      <c r="T84" s="15"/>
      <c r="U84" s="17"/>
      <c r="V84" s="15"/>
      <c r="W84" s="116"/>
      <c r="X84" s="19"/>
      <c r="Y84" s="19"/>
      <c r="Z84" s="19"/>
      <c r="AA84" s="19"/>
      <c r="AB84" s="19"/>
      <c r="AC84" s="19"/>
      <c r="AD84" s="19"/>
      <c r="AE84" s="32"/>
    </row>
    <row r="85" spans="1:31" ht="15" customHeight="1">
      <c r="A85" s="134" t="s">
        <v>175</v>
      </c>
      <c r="B85" s="33"/>
      <c r="C85" s="7"/>
      <c r="D85" s="7"/>
      <c r="E85" s="7"/>
      <c r="F85" s="7"/>
      <c r="G85" s="7"/>
      <c r="H85" s="7"/>
      <c r="I85" s="7"/>
      <c r="J85" s="10"/>
      <c r="K85" s="10"/>
      <c r="L85" s="10"/>
      <c r="M85" s="10"/>
      <c r="N85" s="10"/>
      <c r="O85" s="9"/>
      <c r="P85" s="9"/>
      <c r="Q85" s="9"/>
      <c r="R85" s="34"/>
      <c r="S85" s="35"/>
      <c r="T85" s="35"/>
      <c r="U85" s="36"/>
      <c r="V85" s="35"/>
      <c r="W85" s="7"/>
      <c r="X85" s="7"/>
      <c r="Y85" s="7"/>
      <c r="Z85" s="7"/>
      <c r="AA85" s="7"/>
      <c r="AB85" s="7"/>
      <c r="AC85" s="7"/>
      <c r="AD85" s="7"/>
      <c r="AE85" s="1" t="s">
        <v>20</v>
      </c>
    </row>
  </sheetData>
  <mergeCells count="231">
    <mergeCell ref="AE75:AE76"/>
    <mergeCell ref="AE71:AE72"/>
    <mergeCell ref="Z73:AB74"/>
    <mergeCell ref="AC73:AD74"/>
    <mergeCell ref="AE73:AE74"/>
    <mergeCell ref="A71:A76"/>
    <mergeCell ref="B71:B74"/>
    <mergeCell ref="C71:D76"/>
    <mergeCell ref="E71:N73"/>
    <mergeCell ref="O71:Q76"/>
    <mergeCell ref="R71:W74"/>
    <mergeCell ref="X71:Y76"/>
    <mergeCell ref="Z71:AB72"/>
    <mergeCell ref="AC71:AD72"/>
    <mergeCell ref="E74:N76"/>
    <mergeCell ref="B75:B76"/>
    <mergeCell ref="R75:R76"/>
    <mergeCell ref="S75:W76"/>
    <mergeCell ref="Z75:AB76"/>
    <mergeCell ref="AC75:AD76"/>
    <mergeCell ref="AE63:AE64"/>
    <mergeCell ref="AE59:AE60"/>
    <mergeCell ref="Z61:AB62"/>
    <mergeCell ref="AC61:AD62"/>
    <mergeCell ref="AE61:AE62"/>
    <mergeCell ref="AC65:AD66"/>
    <mergeCell ref="AE65:AE66"/>
    <mergeCell ref="A65:A70"/>
    <mergeCell ref="B65:B68"/>
    <mergeCell ref="C65:D70"/>
    <mergeCell ref="E65:N70"/>
    <mergeCell ref="O65:Q70"/>
    <mergeCell ref="R65:W68"/>
    <mergeCell ref="X65:Y70"/>
    <mergeCell ref="Z65:AB66"/>
    <mergeCell ref="B69:B70"/>
    <mergeCell ref="R69:R70"/>
    <mergeCell ref="S69:W70"/>
    <mergeCell ref="Z69:AB70"/>
    <mergeCell ref="AC69:AD70"/>
    <mergeCell ref="AE69:AE70"/>
    <mergeCell ref="Z67:AB68"/>
    <mergeCell ref="AC67:AD68"/>
    <mergeCell ref="AE67:AE68"/>
    <mergeCell ref="A59:A64"/>
    <mergeCell ref="B59:B62"/>
    <mergeCell ref="C59:D64"/>
    <mergeCell ref="E59:N64"/>
    <mergeCell ref="O59:Q64"/>
    <mergeCell ref="R59:W62"/>
    <mergeCell ref="X59:Y64"/>
    <mergeCell ref="Z59:AB60"/>
    <mergeCell ref="AC59:AD60"/>
    <mergeCell ref="B63:B64"/>
    <mergeCell ref="R63:R64"/>
    <mergeCell ref="S63:W64"/>
    <mergeCell ref="Z63:AB64"/>
    <mergeCell ref="AC63:AD64"/>
    <mergeCell ref="AE51:AE52"/>
    <mergeCell ref="AE47:AE48"/>
    <mergeCell ref="Z49:AB50"/>
    <mergeCell ref="AC49:AD50"/>
    <mergeCell ref="AE49:AE50"/>
    <mergeCell ref="AC53:AD54"/>
    <mergeCell ref="AE53:AE54"/>
    <mergeCell ref="A53:A58"/>
    <mergeCell ref="B53:B56"/>
    <mergeCell ref="C53:D58"/>
    <mergeCell ref="E53:N58"/>
    <mergeCell ref="O53:Q58"/>
    <mergeCell ref="R53:W56"/>
    <mergeCell ref="X53:Y58"/>
    <mergeCell ref="Z53:AB54"/>
    <mergeCell ref="B57:B58"/>
    <mergeCell ref="R57:R58"/>
    <mergeCell ref="S57:W58"/>
    <mergeCell ref="Z57:AB58"/>
    <mergeCell ref="AC57:AD58"/>
    <mergeCell ref="AE57:AE58"/>
    <mergeCell ref="Z55:AB56"/>
    <mergeCell ref="AC55:AD56"/>
    <mergeCell ref="AE55:AE56"/>
    <mergeCell ref="A47:A52"/>
    <mergeCell ref="B47:B50"/>
    <mergeCell ref="C47:D52"/>
    <mergeCell ref="E47:N52"/>
    <mergeCell ref="O47:Q52"/>
    <mergeCell ref="R47:W50"/>
    <mergeCell ref="X47:Y52"/>
    <mergeCell ref="Z47:AB48"/>
    <mergeCell ref="AC47:AD48"/>
    <mergeCell ref="B51:B52"/>
    <mergeCell ref="R51:R52"/>
    <mergeCell ref="S51:W52"/>
    <mergeCell ref="Z51:AB52"/>
    <mergeCell ref="AC51:AD52"/>
    <mergeCell ref="AE39:AE40"/>
    <mergeCell ref="AE35:AE36"/>
    <mergeCell ref="Z37:AB38"/>
    <mergeCell ref="AC37:AD38"/>
    <mergeCell ref="AE37:AE38"/>
    <mergeCell ref="AC41:AD42"/>
    <mergeCell ref="AE41:AE42"/>
    <mergeCell ref="A41:A46"/>
    <mergeCell ref="B41:B44"/>
    <mergeCell ref="C41:D46"/>
    <mergeCell ref="E41:N46"/>
    <mergeCell ref="O41:Q46"/>
    <mergeCell ref="R41:W44"/>
    <mergeCell ref="X41:Y46"/>
    <mergeCell ref="Z41:AB42"/>
    <mergeCell ref="B45:B46"/>
    <mergeCell ref="R45:R46"/>
    <mergeCell ref="S45:W46"/>
    <mergeCell ref="Z45:AB46"/>
    <mergeCell ref="AC45:AD46"/>
    <mergeCell ref="AE45:AE46"/>
    <mergeCell ref="Z43:AB44"/>
    <mergeCell ref="AC43:AD44"/>
    <mergeCell ref="AE43:AE44"/>
    <mergeCell ref="A35:A40"/>
    <mergeCell ref="B35:B38"/>
    <mergeCell ref="C35:D40"/>
    <mergeCell ref="E35:N40"/>
    <mergeCell ref="O35:Q40"/>
    <mergeCell ref="R35:W38"/>
    <mergeCell ref="X35:Y40"/>
    <mergeCell ref="Z35:AB36"/>
    <mergeCell ref="AC35:AD36"/>
    <mergeCell ref="B39:B40"/>
    <mergeCell ref="R39:R40"/>
    <mergeCell ref="S39:W40"/>
    <mergeCell ref="Z39:AB40"/>
    <mergeCell ref="AC39:AD40"/>
    <mergeCell ref="AC29:AD30"/>
    <mergeCell ref="AE29:AE30"/>
    <mergeCell ref="A29:A34"/>
    <mergeCell ref="B29:B32"/>
    <mergeCell ref="C29:D34"/>
    <mergeCell ref="E29:N34"/>
    <mergeCell ref="O29:Q34"/>
    <mergeCell ref="R29:W32"/>
    <mergeCell ref="X29:Y34"/>
    <mergeCell ref="Z29:AB30"/>
    <mergeCell ref="B33:B34"/>
    <mergeCell ref="R33:R34"/>
    <mergeCell ref="S33:W34"/>
    <mergeCell ref="Z33:AB34"/>
    <mergeCell ref="AC33:AD34"/>
    <mergeCell ref="AE33:AE34"/>
    <mergeCell ref="Z31:AB32"/>
    <mergeCell ref="AC31:AD32"/>
    <mergeCell ref="AE31:AE32"/>
    <mergeCell ref="Z27:AB28"/>
    <mergeCell ref="AC27:AD28"/>
    <mergeCell ref="AE27:AE28"/>
    <mergeCell ref="Z25:AB26"/>
    <mergeCell ref="AC25:AD26"/>
    <mergeCell ref="AE25:AE26"/>
    <mergeCell ref="X23:Y28"/>
    <mergeCell ref="Z23:AB24"/>
    <mergeCell ref="AC23:AD24"/>
    <mergeCell ref="AE23:AE24"/>
    <mergeCell ref="A23:A28"/>
    <mergeCell ref="B23:B26"/>
    <mergeCell ref="C23:D28"/>
    <mergeCell ref="E23:N28"/>
    <mergeCell ref="O23:Q28"/>
    <mergeCell ref="R23:W26"/>
    <mergeCell ref="B21:B22"/>
    <mergeCell ref="R21:R22"/>
    <mergeCell ref="S21:W22"/>
    <mergeCell ref="A17:A22"/>
    <mergeCell ref="B17:B20"/>
    <mergeCell ref="C17:D22"/>
    <mergeCell ref="E17:N22"/>
    <mergeCell ref="O17:Q22"/>
    <mergeCell ref="R17:W20"/>
    <mergeCell ref="B27:B28"/>
    <mergeCell ref="R27:R28"/>
    <mergeCell ref="S27:W28"/>
    <mergeCell ref="X17:Y22"/>
    <mergeCell ref="Z13:AB14"/>
    <mergeCell ref="AC13:AD14"/>
    <mergeCell ref="AE13:AE14"/>
    <mergeCell ref="X11:Y16"/>
    <mergeCell ref="Z11:AB12"/>
    <mergeCell ref="AC11:AD12"/>
    <mergeCell ref="AE11:AE12"/>
    <mergeCell ref="Z15:AB16"/>
    <mergeCell ref="AC15:AD16"/>
    <mergeCell ref="AE15:AE16"/>
    <mergeCell ref="Z21:AB22"/>
    <mergeCell ref="AC21:AD22"/>
    <mergeCell ref="AE21:AE22"/>
    <mergeCell ref="Z19:AB20"/>
    <mergeCell ref="AC19:AD20"/>
    <mergeCell ref="AE19:AE20"/>
    <mergeCell ref="Z17:AB18"/>
    <mergeCell ref="AC17:AD18"/>
    <mergeCell ref="AE17:AE18"/>
    <mergeCell ref="A11:A16"/>
    <mergeCell ref="B11:B14"/>
    <mergeCell ref="C11:D16"/>
    <mergeCell ref="E11:N16"/>
    <mergeCell ref="O11:Q16"/>
    <mergeCell ref="R11:W14"/>
    <mergeCell ref="B15:B16"/>
    <mergeCell ref="R15:R16"/>
    <mergeCell ref="S15:W16"/>
    <mergeCell ref="A10:B10"/>
    <mergeCell ref="C10:D10"/>
    <mergeCell ref="E10:N10"/>
    <mergeCell ref="O10:Q10"/>
    <mergeCell ref="R10:Y10"/>
    <mergeCell ref="Z10:AE10"/>
    <mergeCell ref="Z2:AE6"/>
    <mergeCell ref="G5:N9"/>
    <mergeCell ref="R6:R9"/>
    <mergeCell ref="S6:Y9"/>
    <mergeCell ref="Z7:AE9"/>
    <mergeCell ref="A1:F1"/>
    <mergeCell ref="G1:N1"/>
    <mergeCell ref="O1:Q1"/>
    <mergeCell ref="R1:Y1"/>
    <mergeCell ref="Z1:AE1"/>
    <mergeCell ref="A2:F9"/>
    <mergeCell ref="G2:N4"/>
    <mergeCell ref="O2:Q9"/>
    <mergeCell ref="R2:R5"/>
    <mergeCell ref="S2:Y5"/>
  </mergeCells>
  <phoneticPr fontId="3"/>
  <pageMargins left="0.19685039370078741" right="0" top="0.19685039370078741" bottom="0" header="0" footer="0"/>
  <pageSetup paperSize="9" scale="58" orientation="landscape" r:id="rId1"/>
  <headerFooter>
    <oddFooter>&amp;R&amp;D&amp;T</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B002B-42EE-40DF-BCA6-F239120FA0C0}">
  <sheetPr>
    <pageSetUpPr fitToPage="1"/>
  </sheetPr>
  <dimension ref="A1:AE85"/>
  <sheetViews>
    <sheetView zoomScale="52" zoomScaleNormal="52" workbookViewId="0">
      <selection activeCell="AE85" sqref="A1:AE85"/>
    </sheetView>
  </sheetViews>
  <sheetFormatPr defaultRowHeight="18"/>
  <cols>
    <col min="1" max="1" width="3.4140625" customWidth="1"/>
    <col min="2" max="2" width="8.4140625" customWidth="1"/>
    <col min="3" max="3" width="6.4140625" customWidth="1"/>
    <col min="4" max="4" width="2.4140625" customWidth="1"/>
    <col min="5" max="6" width="6.4140625" customWidth="1"/>
    <col min="7" max="17" width="5.4140625" customWidth="1"/>
    <col min="18" max="18" width="6.4140625" customWidth="1"/>
    <col min="19" max="23" width="5.4140625" customWidth="1"/>
    <col min="24" max="25" width="6.4140625" customWidth="1"/>
    <col min="26" max="28" width="7.4140625" customWidth="1"/>
    <col min="29" max="30" width="3.4140625" customWidth="1"/>
    <col min="31" max="31" width="21.4140625" customWidth="1"/>
  </cols>
  <sheetData>
    <row r="1" spans="1:31" ht="18" customHeight="1">
      <c r="A1" s="139" t="s">
        <v>0</v>
      </c>
      <c r="B1" s="140"/>
      <c r="C1" s="140"/>
      <c r="D1" s="140"/>
      <c r="E1" s="140"/>
      <c r="F1" s="141"/>
      <c r="G1" s="142" t="s">
        <v>1</v>
      </c>
      <c r="H1" s="140"/>
      <c r="I1" s="140"/>
      <c r="J1" s="140"/>
      <c r="K1" s="140"/>
      <c r="L1" s="140"/>
      <c r="M1" s="140"/>
      <c r="N1" s="140"/>
      <c r="O1" s="139" t="s">
        <v>2</v>
      </c>
      <c r="P1" s="140"/>
      <c r="Q1" s="141"/>
      <c r="R1" s="143" t="s">
        <v>3</v>
      </c>
      <c r="S1" s="143"/>
      <c r="T1" s="143"/>
      <c r="U1" s="143"/>
      <c r="V1" s="143"/>
      <c r="W1" s="143"/>
      <c r="X1" s="143"/>
      <c r="Y1" s="143"/>
      <c r="Z1" s="143" t="s">
        <v>4</v>
      </c>
      <c r="AA1" s="143"/>
      <c r="AB1" s="143"/>
      <c r="AC1" s="143"/>
      <c r="AD1" s="143"/>
      <c r="AE1" s="143"/>
    </row>
    <row r="2" spans="1:31" ht="8.15" customHeight="1">
      <c r="A2" s="144" t="s">
        <v>154</v>
      </c>
      <c r="B2" s="145"/>
      <c r="C2" s="145"/>
      <c r="D2" s="145"/>
      <c r="E2" s="145"/>
      <c r="F2" s="146"/>
      <c r="G2" s="147" t="s">
        <v>5</v>
      </c>
      <c r="H2" s="148"/>
      <c r="I2" s="148"/>
      <c r="J2" s="148"/>
      <c r="K2" s="148"/>
      <c r="L2" s="148"/>
      <c r="M2" s="148"/>
      <c r="N2" s="149"/>
      <c r="O2" s="153" t="s">
        <v>168</v>
      </c>
      <c r="P2" s="154"/>
      <c r="Q2" s="155"/>
      <c r="R2" s="162" t="s">
        <v>6</v>
      </c>
      <c r="S2" s="165" t="s">
        <v>157</v>
      </c>
      <c r="T2" s="166"/>
      <c r="U2" s="166"/>
      <c r="V2" s="166"/>
      <c r="W2" s="166"/>
      <c r="X2" s="166"/>
      <c r="Y2" s="167"/>
      <c r="Z2" s="184" t="s">
        <v>162</v>
      </c>
      <c r="AA2" s="185"/>
      <c r="AB2" s="185"/>
      <c r="AC2" s="185"/>
      <c r="AD2" s="185"/>
      <c r="AE2" s="186"/>
    </row>
    <row r="3" spans="1:31" ht="8.15" customHeight="1">
      <c r="A3" s="144"/>
      <c r="B3" s="145"/>
      <c r="C3" s="145"/>
      <c r="D3" s="145"/>
      <c r="E3" s="145"/>
      <c r="F3" s="146"/>
      <c r="G3" s="150"/>
      <c r="H3" s="151"/>
      <c r="I3" s="151"/>
      <c r="J3" s="151"/>
      <c r="K3" s="151"/>
      <c r="L3" s="151"/>
      <c r="M3" s="151"/>
      <c r="N3" s="152"/>
      <c r="O3" s="156"/>
      <c r="P3" s="157"/>
      <c r="Q3" s="158"/>
      <c r="R3" s="163"/>
      <c r="S3" s="168"/>
      <c r="T3" s="168"/>
      <c r="U3" s="168"/>
      <c r="V3" s="168"/>
      <c r="W3" s="168"/>
      <c r="X3" s="168"/>
      <c r="Y3" s="169"/>
      <c r="Z3" s="187"/>
      <c r="AA3" s="188"/>
      <c r="AB3" s="188"/>
      <c r="AC3" s="188"/>
      <c r="AD3" s="188"/>
      <c r="AE3" s="189"/>
    </row>
    <row r="4" spans="1:31" ht="8.15" customHeight="1">
      <c r="A4" s="144"/>
      <c r="B4" s="145"/>
      <c r="C4" s="145"/>
      <c r="D4" s="145"/>
      <c r="E4" s="145"/>
      <c r="F4" s="146"/>
      <c r="G4" s="150"/>
      <c r="H4" s="151"/>
      <c r="I4" s="151"/>
      <c r="J4" s="151"/>
      <c r="K4" s="151"/>
      <c r="L4" s="151"/>
      <c r="M4" s="151"/>
      <c r="N4" s="152"/>
      <c r="O4" s="156"/>
      <c r="P4" s="157"/>
      <c r="Q4" s="158"/>
      <c r="R4" s="163"/>
      <c r="S4" s="168"/>
      <c r="T4" s="168"/>
      <c r="U4" s="168"/>
      <c r="V4" s="168"/>
      <c r="W4" s="168"/>
      <c r="X4" s="168"/>
      <c r="Y4" s="169"/>
      <c r="Z4" s="187"/>
      <c r="AA4" s="188"/>
      <c r="AB4" s="188"/>
      <c r="AC4" s="188"/>
      <c r="AD4" s="188"/>
      <c r="AE4" s="189"/>
    </row>
    <row r="5" spans="1:31" ht="8.15" customHeight="1">
      <c r="A5" s="144"/>
      <c r="B5" s="145"/>
      <c r="C5" s="145"/>
      <c r="D5" s="145"/>
      <c r="E5" s="145"/>
      <c r="F5" s="146"/>
      <c r="G5" s="193" t="s">
        <v>7</v>
      </c>
      <c r="H5" s="194"/>
      <c r="I5" s="194"/>
      <c r="J5" s="194"/>
      <c r="K5" s="194"/>
      <c r="L5" s="194"/>
      <c r="M5" s="194"/>
      <c r="N5" s="195"/>
      <c r="O5" s="156"/>
      <c r="P5" s="157"/>
      <c r="Q5" s="158"/>
      <c r="R5" s="164"/>
      <c r="S5" s="170"/>
      <c r="T5" s="170"/>
      <c r="U5" s="170"/>
      <c r="V5" s="170"/>
      <c r="W5" s="170"/>
      <c r="X5" s="170"/>
      <c r="Y5" s="171"/>
      <c r="Z5" s="187"/>
      <c r="AA5" s="188"/>
      <c r="AB5" s="188"/>
      <c r="AC5" s="188"/>
      <c r="AD5" s="188"/>
      <c r="AE5" s="189"/>
    </row>
    <row r="6" spans="1:31" ht="8.15" customHeight="1">
      <c r="A6" s="144"/>
      <c r="B6" s="145"/>
      <c r="C6" s="145"/>
      <c r="D6" s="145"/>
      <c r="E6" s="145"/>
      <c r="F6" s="146"/>
      <c r="G6" s="193"/>
      <c r="H6" s="194"/>
      <c r="I6" s="194"/>
      <c r="J6" s="194"/>
      <c r="K6" s="194"/>
      <c r="L6" s="194"/>
      <c r="M6" s="194"/>
      <c r="N6" s="195"/>
      <c r="O6" s="156"/>
      <c r="P6" s="157"/>
      <c r="Q6" s="158"/>
      <c r="R6" s="162" t="s">
        <v>8</v>
      </c>
      <c r="S6" s="165" t="s">
        <v>158</v>
      </c>
      <c r="T6" s="166"/>
      <c r="U6" s="166"/>
      <c r="V6" s="166"/>
      <c r="W6" s="166"/>
      <c r="X6" s="166"/>
      <c r="Y6" s="167"/>
      <c r="Z6" s="190"/>
      <c r="AA6" s="191"/>
      <c r="AB6" s="191"/>
      <c r="AC6" s="191"/>
      <c r="AD6" s="191"/>
      <c r="AE6" s="192"/>
    </row>
    <row r="7" spans="1:31" ht="8.15" customHeight="1">
      <c r="A7" s="144"/>
      <c r="B7" s="145"/>
      <c r="C7" s="145"/>
      <c r="D7" s="145"/>
      <c r="E7" s="145"/>
      <c r="F7" s="146"/>
      <c r="G7" s="193"/>
      <c r="H7" s="194"/>
      <c r="I7" s="194"/>
      <c r="J7" s="194"/>
      <c r="K7" s="194"/>
      <c r="L7" s="194"/>
      <c r="M7" s="194"/>
      <c r="N7" s="195"/>
      <c r="O7" s="156"/>
      <c r="P7" s="157"/>
      <c r="Q7" s="158"/>
      <c r="R7" s="163"/>
      <c r="S7" s="168"/>
      <c r="T7" s="168"/>
      <c r="U7" s="168"/>
      <c r="V7" s="168"/>
      <c r="W7" s="168"/>
      <c r="X7" s="168"/>
      <c r="Y7" s="169"/>
      <c r="Z7" s="199" t="s">
        <v>163</v>
      </c>
      <c r="AA7" s="200"/>
      <c r="AB7" s="200"/>
      <c r="AC7" s="200"/>
      <c r="AD7" s="200"/>
      <c r="AE7" s="201"/>
    </row>
    <row r="8" spans="1:31" ht="8.15" customHeight="1">
      <c r="A8" s="144"/>
      <c r="B8" s="145"/>
      <c r="C8" s="145"/>
      <c r="D8" s="145"/>
      <c r="E8" s="145"/>
      <c r="F8" s="146"/>
      <c r="G8" s="193"/>
      <c r="H8" s="194"/>
      <c r="I8" s="194"/>
      <c r="J8" s="194"/>
      <c r="K8" s="194"/>
      <c r="L8" s="194"/>
      <c r="M8" s="194"/>
      <c r="N8" s="195"/>
      <c r="O8" s="156"/>
      <c r="P8" s="157"/>
      <c r="Q8" s="158"/>
      <c r="R8" s="163"/>
      <c r="S8" s="168"/>
      <c r="T8" s="168"/>
      <c r="U8" s="168"/>
      <c r="V8" s="168"/>
      <c r="W8" s="168"/>
      <c r="X8" s="168"/>
      <c r="Y8" s="169"/>
      <c r="Z8" s="187"/>
      <c r="AA8" s="188"/>
      <c r="AB8" s="188"/>
      <c r="AC8" s="188"/>
      <c r="AD8" s="188"/>
      <c r="AE8" s="189"/>
    </row>
    <row r="9" spans="1:31" ht="8.15" customHeight="1">
      <c r="A9" s="144"/>
      <c r="B9" s="145"/>
      <c r="C9" s="145"/>
      <c r="D9" s="145"/>
      <c r="E9" s="145"/>
      <c r="F9" s="146"/>
      <c r="G9" s="196"/>
      <c r="H9" s="197"/>
      <c r="I9" s="197"/>
      <c r="J9" s="197"/>
      <c r="K9" s="197"/>
      <c r="L9" s="197"/>
      <c r="M9" s="197"/>
      <c r="N9" s="198"/>
      <c r="O9" s="159"/>
      <c r="P9" s="160"/>
      <c r="Q9" s="161"/>
      <c r="R9" s="164"/>
      <c r="S9" s="170"/>
      <c r="T9" s="170"/>
      <c r="U9" s="170"/>
      <c r="V9" s="170"/>
      <c r="W9" s="170"/>
      <c r="X9" s="170"/>
      <c r="Y9" s="171"/>
      <c r="Z9" s="202"/>
      <c r="AA9" s="203"/>
      <c r="AB9" s="203"/>
      <c r="AC9" s="203"/>
      <c r="AD9" s="203"/>
      <c r="AE9" s="204"/>
    </row>
    <row r="10" spans="1:31">
      <c r="A10" s="174" t="s">
        <v>9</v>
      </c>
      <c r="B10" s="175"/>
      <c r="C10" s="176" t="s">
        <v>10</v>
      </c>
      <c r="D10" s="176"/>
      <c r="E10" s="177" t="s">
        <v>11</v>
      </c>
      <c r="F10" s="177"/>
      <c r="G10" s="178"/>
      <c r="H10" s="178"/>
      <c r="I10" s="178"/>
      <c r="J10" s="178"/>
      <c r="K10" s="178"/>
      <c r="L10" s="178"/>
      <c r="M10" s="178"/>
      <c r="N10" s="179"/>
      <c r="O10" s="180" t="s">
        <v>12</v>
      </c>
      <c r="P10" s="181"/>
      <c r="Q10" s="182"/>
      <c r="R10" s="183" t="s">
        <v>13</v>
      </c>
      <c r="S10" s="183"/>
      <c r="T10" s="183"/>
      <c r="U10" s="183"/>
      <c r="V10" s="183"/>
      <c r="W10" s="183"/>
      <c r="X10" s="183"/>
      <c r="Y10" s="175"/>
      <c r="Z10" s="143" t="s">
        <v>14</v>
      </c>
      <c r="AA10" s="143"/>
      <c r="AB10" s="143"/>
      <c r="AC10" s="143"/>
      <c r="AD10" s="143"/>
      <c r="AE10" s="143"/>
    </row>
    <row r="11" spans="1:31" ht="11.15" customHeight="1">
      <c r="A11" s="228">
        <v>1</v>
      </c>
      <c r="B11" s="232">
        <v>46188</v>
      </c>
      <c r="C11" s="233" t="s">
        <v>115</v>
      </c>
      <c r="D11" s="233"/>
      <c r="E11" s="270" t="s">
        <v>123</v>
      </c>
      <c r="F11" s="271"/>
      <c r="G11" s="271"/>
      <c r="H11" s="271"/>
      <c r="I11" s="271"/>
      <c r="J11" s="271"/>
      <c r="K11" s="271"/>
      <c r="L11" s="271"/>
      <c r="M11" s="271"/>
      <c r="N11" s="272"/>
      <c r="O11" s="279" t="s">
        <v>169</v>
      </c>
      <c r="P11" s="280"/>
      <c r="Q11" s="281"/>
      <c r="R11" s="251" t="s">
        <v>155</v>
      </c>
      <c r="S11" s="252"/>
      <c r="T11" s="252"/>
      <c r="U11" s="252"/>
      <c r="V11" s="252"/>
      <c r="W11" s="253"/>
      <c r="X11" s="260" t="s">
        <v>161</v>
      </c>
      <c r="Y11" s="260"/>
      <c r="Z11" s="220" t="s">
        <v>15</v>
      </c>
      <c r="AA11" s="221"/>
      <c r="AB11" s="222"/>
      <c r="AC11" s="223" t="s">
        <v>36</v>
      </c>
      <c r="AD11" s="224"/>
      <c r="AE11" s="225"/>
    </row>
    <row r="12" spans="1:31" ht="11.15" customHeight="1">
      <c r="A12" s="229"/>
      <c r="B12" s="232"/>
      <c r="C12" s="234"/>
      <c r="D12" s="234"/>
      <c r="E12" s="273"/>
      <c r="F12" s="274"/>
      <c r="G12" s="274"/>
      <c r="H12" s="274"/>
      <c r="I12" s="274"/>
      <c r="J12" s="274"/>
      <c r="K12" s="274"/>
      <c r="L12" s="274"/>
      <c r="M12" s="274"/>
      <c r="N12" s="275"/>
      <c r="O12" s="282"/>
      <c r="P12" s="283"/>
      <c r="Q12" s="284"/>
      <c r="R12" s="254"/>
      <c r="S12" s="255"/>
      <c r="T12" s="255"/>
      <c r="U12" s="255"/>
      <c r="V12" s="255"/>
      <c r="W12" s="256"/>
      <c r="X12" s="261"/>
      <c r="Y12" s="261"/>
      <c r="Z12" s="209"/>
      <c r="AA12" s="210"/>
      <c r="AB12" s="211"/>
      <c r="AC12" s="214"/>
      <c r="AD12" s="213"/>
      <c r="AE12" s="215"/>
    </row>
    <row r="13" spans="1:31" ht="11.15" customHeight="1">
      <c r="A13" s="229"/>
      <c r="B13" s="232"/>
      <c r="C13" s="234"/>
      <c r="D13" s="234"/>
      <c r="E13" s="273"/>
      <c r="F13" s="274"/>
      <c r="G13" s="274"/>
      <c r="H13" s="274"/>
      <c r="I13" s="274"/>
      <c r="J13" s="274"/>
      <c r="K13" s="274"/>
      <c r="L13" s="274"/>
      <c r="M13" s="274"/>
      <c r="N13" s="275"/>
      <c r="O13" s="282"/>
      <c r="P13" s="283"/>
      <c r="Q13" s="284"/>
      <c r="R13" s="254"/>
      <c r="S13" s="255"/>
      <c r="T13" s="255"/>
      <c r="U13" s="255"/>
      <c r="V13" s="255"/>
      <c r="W13" s="256"/>
      <c r="X13" s="261"/>
      <c r="Y13" s="261"/>
      <c r="Z13" s="209" t="s">
        <v>28</v>
      </c>
      <c r="AA13" s="210"/>
      <c r="AB13" s="211"/>
      <c r="AC13" s="212">
        <v>0.47916666666666669</v>
      </c>
      <c r="AD13" s="213"/>
      <c r="AE13" s="215" t="s">
        <v>27</v>
      </c>
    </row>
    <row r="14" spans="1:31" ht="11.15" customHeight="1">
      <c r="A14" s="229"/>
      <c r="B14" s="232"/>
      <c r="C14" s="234"/>
      <c r="D14" s="234"/>
      <c r="E14" s="273"/>
      <c r="F14" s="274"/>
      <c r="G14" s="274"/>
      <c r="H14" s="274"/>
      <c r="I14" s="274"/>
      <c r="J14" s="274"/>
      <c r="K14" s="274"/>
      <c r="L14" s="274"/>
      <c r="M14" s="274"/>
      <c r="N14" s="275"/>
      <c r="O14" s="282"/>
      <c r="P14" s="283"/>
      <c r="Q14" s="284"/>
      <c r="R14" s="257"/>
      <c r="S14" s="258"/>
      <c r="T14" s="258"/>
      <c r="U14" s="258"/>
      <c r="V14" s="258"/>
      <c r="W14" s="259"/>
      <c r="X14" s="261"/>
      <c r="Y14" s="261"/>
      <c r="Z14" s="209"/>
      <c r="AA14" s="210"/>
      <c r="AB14" s="211"/>
      <c r="AC14" s="214"/>
      <c r="AD14" s="213"/>
      <c r="AE14" s="215"/>
    </row>
    <row r="15" spans="1:31" ht="11.15" customHeight="1">
      <c r="A15" s="229"/>
      <c r="B15" s="288" t="str">
        <f>TEXT(B11,"(aaa)")</f>
        <v>(月)</v>
      </c>
      <c r="C15" s="234"/>
      <c r="D15" s="234"/>
      <c r="E15" s="273"/>
      <c r="F15" s="274"/>
      <c r="G15" s="274"/>
      <c r="H15" s="274"/>
      <c r="I15" s="274"/>
      <c r="J15" s="274"/>
      <c r="K15" s="274"/>
      <c r="L15" s="274"/>
      <c r="M15" s="274"/>
      <c r="N15" s="275"/>
      <c r="O15" s="282"/>
      <c r="P15" s="283"/>
      <c r="Q15" s="284"/>
      <c r="R15" s="290" t="s">
        <v>16</v>
      </c>
      <c r="S15" s="292" t="s">
        <v>156</v>
      </c>
      <c r="T15" s="293"/>
      <c r="U15" s="293"/>
      <c r="V15" s="293"/>
      <c r="W15" s="294"/>
      <c r="X15" s="261"/>
      <c r="Y15" s="261"/>
      <c r="Z15" s="209" t="s">
        <v>23</v>
      </c>
      <c r="AA15" s="210"/>
      <c r="AB15" s="211"/>
      <c r="AC15" s="212">
        <v>0.79166666666666663</v>
      </c>
      <c r="AD15" s="213"/>
      <c r="AE15" s="215" t="s">
        <v>26</v>
      </c>
    </row>
    <row r="16" spans="1:31" ht="11.15" customHeight="1">
      <c r="A16" s="230"/>
      <c r="B16" s="289"/>
      <c r="C16" s="235"/>
      <c r="D16" s="235"/>
      <c r="E16" s="276"/>
      <c r="F16" s="277"/>
      <c r="G16" s="277"/>
      <c r="H16" s="277"/>
      <c r="I16" s="277"/>
      <c r="J16" s="277"/>
      <c r="K16" s="277"/>
      <c r="L16" s="277"/>
      <c r="M16" s="277"/>
      <c r="N16" s="278"/>
      <c r="O16" s="285"/>
      <c r="P16" s="286"/>
      <c r="Q16" s="287"/>
      <c r="R16" s="291"/>
      <c r="S16" s="295"/>
      <c r="T16" s="296"/>
      <c r="U16" s="296"/>
      <c r="V16" s="296"/>
      <c r="W16" s="297"/>
      <c r="X16" s="262"/>
      <c r="Y16" s="262"/>
      <c r="Z16" s="263"/>
      <c r="AA16" s="264"/>
      <c r="AB16" s="265"/>
      <c r="AC16" s="266"/>
      <c r="AD16" s="267"/>
      <c r="AE16" s="268"/>
    </row>
    <row r="17" spans="1:31" ht="11.15" customHeight="1">
      <c r="A17" s="228">
        <v>2</v>
      </c>
      <c r="B17" s="231">
        <f>B11+1</f>
        <v>46189</v>
      </c>
      <c r="C17" s="233" t="s">
        <v>165</v>
      </c>
      <c r="D17" s="233"/>
      <c r="E17" s="236" t="s">
        <v>166</v>
      </c>
      <c r="F17" s="237"/>
      <c r="G17" s="237"/>
      <c r="H17" s="237"/>
      <c r="I17" s="237"/>
      <c r="J17" s="237"/>
      <c r="K17" s="237"/>
      <c r="L17" s="237"/>
      <c r="M17" s="237"/>
      <c r="N17" s="238"/>
      <c r="O17" s="245" t="s">
        <v>167</v>
      </c>
      <c r="P17" s="246"/>
      <c r="Q17" s="247"/>
      <c r="R17" s="251" t="s">
        <v>155</v>
      </c>
      <c r="S17" s="252"/>
      <c r="T17" s="252"/>
      <c r="U17" s="252"/>
      <c r="V17" s="252"/>
      <c r="W17" s="253"/>
      <c r="X17" s="260" t="s">
        <v>59</v>
      </c>
      <c r="Y17" s="260"/>
      <c r="Z17" s="299" t="s">
        <v>17</v>
      </c>
      <c r="AA17" s="300"/>
      <c r="AB17" s="301"/>
      <c r="AC17" s="302">
        <v>0.29166666666666669</v>
      </c>
      <c r="AD17" s="303"/>
      <c r="AE17" s="304"/>
    </row>
    <row r="18" spans="1:31" ht="11.15" customHeight="1">
      <c r="A18" s="229"/>
      <c r="B18" s="232"/>
      <c r="C18" s="234"/>
      <c r="D18" s="234"/>
      <c r="E18" s="239"/>
      <c r="F18" s="240"/>
      <c r="G18" s="240"/>
      <c r="H18" s="240"/>
      <c r="I18" s="240"/>
      <c r="J18" s="240"/>
      <c r="K18" s="240"/>
      <c r="L18" s="240"/>
      <c r="M18" s="240"/>
      <c r="N18" s="241"/>
      <c r="O18" s="248"/>
      <c r="P18" s="249"/>
      <c r="Q18" s="250"/>
      <c r="R18" s="254"/>
      <c r="S18" s="255"/>
      <c r="T18" s="255"/>
      <c r="U18" s="255"/>
      <c r="V18" s="255"/>
      <c r="W18" s="256"/>
      <c r="X18" s="261"/>
      <c r="Y18" s="261"/>
      <c r="Z18" s="209"/>
      <c r="AA18" s="210"/>
      <c r="AB18" s="211"/>
      <c r="AC18" s="214"/>
      <c r="AD18" s="213"/>
      <c r="AE18" s="215"/>
    </row>
    <row r="19" spans="1:31" ht="11.15" customHeight="1">
      <c r="A19" s="229"/>
      <c r="B19" s="232"/>
      <c r="C19" s="234"/>
      <c r="D19" s="234"/>
      <c r="E19" s="239"/>
      <c r="F19" s="240"/>
      <c r="G19" s="240"/>
      <c r="H19" s="240"/>
      <c r="I19" s="240"/>
      <c r="J19" s="240"/>
      <c r="K19" s="240"/>
      <c r="L19" s="240"/>
      <c r="M19" s="240"/>
      <c r="N19" s="241"/>
      <c r="O19" s="248"/>
      <c r="P19" s="249"/>
      <c r="Q19" s="250"/>
      <c r="R19" s="254"/>
      <c r="S19" s="255"/>
      <c r="T19" s="255"/>
      <c r="U19" s="255"/>
      <c r="V19" s="255"/>
      <c r="W19" s="256"/>
      <c r="X19" s="261"/>
      <c r="Y19" s="261"/>
      <c r="Z19" s="209" t="s">
        <v>21</v>
      </c>
      <c r="AA19" s="210"/>
      <c r="AB19" s="211"/>
      <c r="AC19" s="212">
        <v>0.54166666666666663</v>
      </c>
      <c r="AD19" s="213"/>
      <c r="AE19" s="215" t="s">
        <v>25</v>
      </c>
    </row>
    <row r="20" spans="1:31" ht="11.15" customHeight="1">
      <c r="A20" s="229"/>
      <c r="B20" s="232"/>
      <c r="C20" s="234"/>
      <c r="D20" s="234"/>
      <c r="E20" s="239"/>
      <c r="F20" s="240"/>
      <c r="G20" s="240"/>
      <c r="H20" s="240"/>
      <c r="I20" s="240"/>
      <c r="J20" s="240"/>
      <c r="K20" s="240"/>
      <c r="L20" s="240"/>
      <c r="M20" s="240"/>
      <c r="N20" s="241"/>
      <c r="O20" s="248"/>
      <c r="P20" s="249"/>
      <c r="Q20" s="250"/>
      <c r="R20" s="257"/>
      <c r="S20" s="258"/>
      <c r="T20" s="258"/>
      <c r="U20" s="258"/>
      <c r="V20" s="258"/>
      <c r="W20" s="259"/>
      <c r="X20" s="261"/>
      <c r="Y20" s="261"/>
      <c r="Z20" s="209"/>
      <c r="AA20" s="210"/>
      <c r="AB20" s="211"/>
      <c r="AC20" s="214"/>
      <c r="AD20" s="213"/>
      <c r="AE20" s="215"/>
    </row>
    <row r="21" spans="1:31" ht="11.15" customHeight="1">
      <c r="A21" s="229"/>
      <c r="B21" s="288" t="str">
        <f>TEXT(B17,"(aaa)")</f>
        <v>(火)</v>
      </c>
      <c r="C21" s="234"/>
      <c r="D21" s="234"/>
      <c r="E21" s="239"/>
      <c r="F21" s="240"/>
      <c r="G21" s="240"/>
      <c r="H21" s="240"/>
      <c r="I21" s="240"/>
      <c r="J21" s="240"/>
      <c r="K21" s="240"/>
      <c r="L21" s="240"/>
      <c r="M21" s="240"/>
      <c r="N21" s="241"/>
      <c r="O21" s="248"/>
      <c r="P21" s="249"/>
      <c r="Q21" s="250"/>
      <c r="R21" s="290" t="s">
        <v>16</v>
      </c>
      <c r="S21" s="292" t="s">
        <v>156</v>
      </c>
      <c r="T21" s="293"/>
      <c r="U21" s="293"/>
      <c r="V21" s="293"/>
      <c r="W21" s="294"/>
      <c r="X21" s="261"/>
      <c r="Y21" s="261"/>
      <c r="Z21" s="209" t="s">
        <v>22</v>
      </c>
      <c r="AA21" s="210"/>
      <c r="AB21" s="211"/>
      <c r="AC21" s="212">
        <v>0.79166666666666663</v>
      </c>
      <c r="AD21" s="213"/>
      <c r="AE21" s="215" t="s">
        <v>25</v>
      </c>
    </row>
    <row r="22" spans="1:31" ht="11.15" customHeight="1">
      <c r="A22" s="230"/>
      <c r="B22" s="289"/>
      <c r="C22" s="235"/>
      <c r="D22" s="235"/>
      <c r="E22" s="242"/>
      <c r="F22" s="243"/>
      <c r="G22" s="243"/>
      <c r="H22" s="243"/>
      <c r="I22" s="243"/>
      <c r="J22" s="243"/>
      <c r="K22" s="243"/>
      <c r="L22" s="243"/>
      <c r="M22" s="243"/>
      <c r="N22" s="244"/>
      <c r="O22" s="248"/>
      <c r="P22" s="249"/>
      <c r="Q22" s="250"/>
      <c r="R22" s="291"/>
      <c r="S22" s="295"/>
      <c r="T22" s="296"/>
      <c r="U22" s="296"/>
      <c r="V22" s="296"/>
      <c r="W22" s="297"/>
      <c r="X22" s="262"/>
      <c r="Y22" s="262"/>
      <c r="Z22" s="263"/>
      <c r="AA22" s="264"/>
      <c r="AB22" s="265"/>
      <c r="AC22" s="266"/>
      <c r="AD22" s="267"/>
      <c r="AE22" s="268"/>
    </row>
    <row r="23" spans="1:31" ht="11.15" customHeight="1">
      <c r="A23" s="228">
        <v>3</v>
      </c>
      <c r="B23" s="231">
        <f>B17+1</f>
        <v>46190</v>
      </c>
      <c r="C23" s="233" t="s">
        <v>334</v>
      </c>
      <c r="D23" s="233"/>
      <c r="E23" s="305" t="s">
        <v>364</v>
      </c>
      <c r="F23" s="306"/>
      <c r="G23" s="306"/>
      <c r="H23" s="306"/>
      <c r="I23" s="306"/>
      <c r="J23" s="306"/>
      <c r="K23" s="306"/>
      <c r="L23" s="306"/>
      <c r="M23" s="306"/>
      <c r="N23" s="307"/>
      <c r="O23" s="532" t="s">
        <v>340</v>
      </c>
      <c r="P23" s="533"/>
      <c r="Q23" s="534"/>
      <c r="R23" s="460" t="s">
        <v>58</v>
      </c>
      <c r="S23" s="461"/>
      <c r="T23" s="461"/>
      <c r="U23" s="461"/>
      <c r="V23" s="461"/>
      <c r="W23" s="462"/>
      <c r="X23" s="469" t="s">
        <v>59</v>
      </c>
      <c r="Y23" s="469"/>
      <c r="Z23" s="327" t="s">
        <v>131</v>
      </c>
      <c r="AA23" s="328"/>
      <c r="AB23" s="329"/>
      <c r="AC23" s="330" t="s">
        <v>130</v>
      </c>
      <c r="AD23" s="331"/>
      <c r="AE23" s="334" t="s">
        <v>132</v>
      </c>
    </row>
    <row r="24" spans="1:31" ht="11.15" customHeight="1">
      <c r="A24" s="229"/>
      <c r="B24" s="232"/>
      <c r="C24" s="234"/>
      <c r="D24" s="234"/>
      <c r="E24" s="308"/>
      <c r="F24" s="309"/>
      <c r="G24" s="309"/>
      <c r="H24" s="309"/>
      <c r="I24" s="309"/>
      <c r="J24" s="309"/>
      <c r="K24" s="309"/>
      <c r="L24" s="309"/>
      <c r="M24" s="309"/>
      <c r="N24" s="310"/>
      <c r="O24" s="535"/>
      <c r="P24" s="536"/>
      <c r="Q24" s="537"/>
      <c r="R24" s="463"/>
      <c r="S24" s="464"/>
      <c r="T24" s="464"/>
      <c r="U24" s="464"/>
      <c r="V24" s="464"/>
      <c r="W24" s="465"/>
      <c r="X24" s="470"/>
      <c r="Y24" s="470"/>
      <c r="Z24" s="320"/>
      <c r="AA24" s="321"/>
      <c r="AB24" s="322"/>
      <c r="AC24" s="332"/>
      <c r="AD24" s="333"/>
      <c r="AE24" s="326"/>
    </row>
    <row r="25" spans="1:31" ht="11.15" customHeight="1">
      <c r="A25" s="229"/>
      <c r="B25" s="232"/>
      <c r="C25" s="234"/>
      <c r="D25" s="234"/>
      <c r="E25" s="308"/>
      <c r="F25" s="309"/>
      <c r="G25" s="309"/>
      <c r="H25" s="309"/>
      <c r="I25" s="309"/>
      <c r="J25" s="309"/>
      <c r="K25" s="309"/>
      <c r="L25" s="309"/>
      <c r="M25" s="309"/>
      <c r="N25" s="310"/>
      <c r="O25" s="535"/>
      <c r="P25" s="536"/>
      <c r="Q25" s="537"/>
      <c r="R25" s="463"/>
      <c r="S25" s="464"/>
      <c r="T25" s="464"/>
      <c r="U25" s="464"/>
      <c r="V25" s="464"/>
      <c r="W25" s="465"/>
      <c r="X25" s="470"/>
      <c r="Y25" s="470"/>
      <c r="Z25" s="475" t="s">
        <v>68</v>
      </c>
      <c r="AA25" s="476"/>
      <c r="AB25" s="477"/>
      <c r="AC25" s="542">
        <v>0.52083333333333337</v>
      </c>
      <c r="AD25" s="481"/>
      <c r="AE25" s="483" t="s">
        <v>69</v>
      </c>
    </row>
    <row r="26" spans="1:31" ht="11.15" customHeight="1">
      <c r="A26" s="229"/>
      <c r="B26" s="232"/>
      <c r="C26" s="234"/>
      <c r="D26" s="234"/>
      <c r="E26" s="308"/>
      <c r="F26" s="309"/>
      <c r="G26" s="309"/>
      <c r="H26" s="309"/>
      <c r="I26" s="309"/>
      <c r="J26" s="309"/>
      <c r="K26" s="309"/>
      <c r="L26" s="309"/>
      <c r="M26" s="309"/>
      <c r="N26" s="310"/>
      <c r="O26" s="535"/>
      <c r="P26" s="536"/>
      <c r="Q26" s="537"/>
      <c r="R26" s="466"/>
      <c r="S26" s="467"/>
      <c r="T26" s="467"/>
      <c r="U26" s="467"/>
      <c r="V26" s="467"/>
      <c r="W26" s="468"/>
      <c r="X26" s="470"/>
      <c r="Y26" s="470"/>
      <c r="Z26" s="475"/>
      <c r="AA26" s="476"/>
      <c r="AB26" s="477"/>
      <c r="AC26" s="480"/>
      <c r="AD26" s="481"/>
      <c r="AE26" s="483"/>
    </row>
    <row r="27" spans="1:31" ht="11.15" customHeight="1">
      <c r="A27" s="229"/>
      <c r="B27" s="288" t="str">
        <f>TEXT(B23,"(aaa)")</f>
        <v>(水)</v>
      </c>
      <c r="C27" s="234"/>
      <c r="D27" s="234"/>
      <c r="E27" s="308"/>
      <c r="F27" s="309"/>
      <c r="G27" s="309"/>
      <c r="H27" s="309"/>
      <c r="I27" s="309"/>
      <c r="J27" s="309"/>
      <c r="K27" s="309"/>
      <c r="L27" s="309"/>
      <c r="M27" s="309"/>
      <c r="N27" s="310"/>
      <c r="O27" s="535"/>
      <c r="P27" s="536"/>
      <c r="Q27" s="537"/>
      <c r="R27" s="487" t="s">
        <v>19</v>
      </c>
      <c r="S27" s="489" t="s">
        <v>45</v>
      </c>
      <c r="T27" s="490"/>
      <c r="U27" s="490"/>
      <c r="V27" s="490"/>
      <c r="W27" s="491"/>
      <c r="X27" s="470"/>
      <c r="Y27" s="470"/>
      <c r="Z27" s="475" t="s">
        <v>139</v>
      </c>
      <c r="AA27" s="476"/>
      <c r="AB27" s="477"/>
      <c r="AC27" s="484">
        <v>0.79166666666666663</v>
      </c>
      <c r="AD27" s="481"/>
      <c r="AE27" s="483" t="s">
        <v>69</v>
      </c>
    </row>
    <row r="28" spans="1:31" ht="11.15" customHeight="1">
      <c r="A28" s="230"/>
      <c r="B28" s="289"/>
      <c r="C28" s="235"/>
      <c r="D28" s="235"/>
      <c r="E28" s="311"/>
      <c r="F28" s="312"/>
      <c r="G28" s="312"/>
      <c r="H28" s="312"/>
      <c r="I28" s="312"/>
      <c r="J28" s="312"/>
      <c r="K28" s="312"/>
      <c r="L28" s="312"/>
      <c r="M28" s="312"/>
      <c r="N28" s="313"/>
      <c r="O28" s="535"/>
      <c r="P28" s="536"/>
      <c r="Q28" s="537"/>
      <c r="R28" s="488"/>
      <c r="S28" s="492"/>
      <c r="T28" s="493"/>
      <c r="U28" s="493"/>
      <c r="V28" s="493"/>
      <c r="W28" s="494"/>
      <c r="X28" s="471"/>
      <c r="Y28" s="471"/>
      <c r="Z28" s="495"/>
      <c r="AA28" s="496"/>
      <c r="AB28" s="497"/>
      <c r="AC28" s="498"/>
      <c r="AD28" s="499"/>
      <c r="AE28" s="500"/>
    </row>
    <row r="29" spans="1:31" ht="11.15" customHeight="1">
      <c r="A29" s="435">
        <v>4</v>
      </c>
      <c r="B29" s="501">
        <f>B23+1</f>
        <v>46191</v>
      </c>
      <c r="C29" s="543" t="s">
        <v>118</v>
      </c>
      <c r="D29" s="544"/>
      <c r="E29" s="523" t="s">
        <v>341</v>
      </c>
      <c r="F29" s="524"/>
      <c r="G29" s="524"/>
      <c r="H29" s="524"/>
      <c r="I29" s="524"/>
      <c r="J29" s="524"/>
      <c r="K29" s="524"/>
      <c r="L29" s="524"/>
      <c r="M29" s="524"/>
      <c r="N29" s="525"/>
      <c r="O29" s="511" t="s">
        <v>342</v>
      </c>
      <c r="P29" s="512"/>
      <c r="Q29" s="513"/>
      <c r="R29" s="460" t="s">
        <v>58</v>
      </c>
      <c r="S29" s="461"/>
      <c r="T29" s="461"/>
      <c r="U29" s="461"/>
      <c r="V29" s="461"/>
      <c r="W29" s="462"/>
      <c r="X29" s="469" t="s">
        <v>59</v>
      </c>
      <c r="Y29" s="469"/>
      <c r="Z29" s="517" t="s">
        <v>17</v>
      </c>
      <c r="AA29" s="518"/>
      <c r="AB29" s="519"/>
      <c r="AC29" s="520">
        <v>0.27083333333333331</v>
      </c>
      <c r="AD29" s="521"/>
      <c r="AE29" s="522"/>
    </row>
    <row r="30" spans="1:31" ht="11.15" customHeight="1">
      <c r="A30" s="436"/>
      <c r="B30" s="438"/>
      <c r="C30" s="545"/>
      <c r="D30" s="546"/>
      <c r="E30" s="526"/>
      <c r="F30" s="527"/>
      <c r="G30" s="527"/>
      <c r="H30" s="527"/>
      <c r="I30" s="527"/>
      <c r="J30" s="527"/>
      <c r="K30" s="527"/>
      <c r="L30" s="527"/>
      <c r="M30" s="527"/>
      <c r="N30" s="528"/>
      <c r="O30" s="514"/>
      <c r="P30" s="515"/>
      <c r="Q30" s="516"/>
      <c r="R30" s="463"/>
      <c r="S30" s="464"/>
      <c r="T30" s="464"/>
      <c r="U30" s="464"/>
      <c r="V30" s="464"/>
      <c r="W30" s="465"/>
      <c r="X30" s="470"/>
      <c r="Y30" s="470"/>
      <c r="Z30" s="475"/>
      <c r="AA30" s="476"/>
      <c r="AB30" s="477"/>
      <c r="AC30" s="480"/>
      <c r="AD30" s="481"/>
      <c r="AE30" s="483"/>
    </row>
    <row r="31" spans="1:31" ht="11.15" customHeight="1">
      <c r="A31" s="436"/>
      <c r="B31" s="438"/>
      <c r="C31" s="545"/>
      <c r="D31" s="546"/>
      <c r="E31" s="526"/>
      <c r="F31" s="527"/>
      <c r="G31" s="527"/>
      <c r="H31" s="527"/>
      <c r="I31" s="527"/>
      <c r="J31" s="527"/>
      <c r="K31" s="527"/>
      <c r="L31" s="527"/>
      <c r="M31" s="527"/>
      <c r="N31" s="528"/>
      <c r="O31" s="514"/>
      <c r="P31" s="515"/>
      <c r="Q31" s="516"/>
      <c r="R31" s="463"/>
      <c r="S31" s="464"/>
      <c r="T31" s="464"/>
      <c r="U31" s="464"/>
      <c r="V31" s="464"/>
      <c r="W31" s="465"/>
      <c r="X31" s="470"/>
      <c r="Y31" s="470"/>
      <c r="Z31" s="475" t="s">
        <v>141</v>
      </c>
      <c r="AA31" s="476"/>
      <c r="AB31" s="477"/>
      <c r="AC31" s="542" t="s">
        <v>36</v>
      </c>
      <c r="AD31" s="481"/>
      <c r="AE31" s="483"/>
    </row>
    <row r="32" spans="1:31" ht="11.15" customHeight="1">
      <c r="A32" s="436"/>
      <c r="B32" s="438"/>
      <c r="C32" s="545"/>
      <c r="D32" s="546"/>
      <c r="E32" s="526"/>
      <c r="F32" s="527"/>
      <c r="G32" s="527"/>
      <c r="H32" s="527"/>
      <c r="I32" s="527"/>
      <c r="J32" s="527"/>
      <c r="K32" s="527"/>
      <c r="L32" s="527"/>
      <c r="M32" s="527"/>
      <c r="N32" s="528"/>
      <c r="O32" s="514"/>
      <c r="P32" s="515"/>
      <c r="Q32" s="516"/>
      <c r="R32" s="466"/>
      <c r="S32" s="467"/>
      <c r="T32" s="467"/>
      <c r="U32" s="467"/>
      <c r="V32" s="467"/>
      <c r="W32" s="468"/>
      <c r="X32" s="470"/>
      <c r="Y32" s="470"/>
      <c r="Z32" s="475"/>
      <c r="AA32" s="476"/>
      <c r="AB32" s="477"/>
      <c r="AC32" s="480"/>
      <c r="AD32" s="481"/>
      <c r="AE32" s="483"/>
    </row>
    <row r="33" spans="1:31" ht="11.15" customHeight="1">
      <c r="A33" s="436"/>
      <c r="B33" s="485" t="str">
        <f>TEXT(B29,"(aaa)")</f>
        <v>(木)</v>
      </c>
      <c r="C33" s="545"/>
      <c r="D33" s="546"/>
      <c r="E33" s="526"/>
      <c r="F33" s="527"/>
      <c r="G33" s="527"/>
      <c r="H33" s="527"/>
      <c r="I33" s="527"/>
      <c r="J33" s="527"/>
      <c r="K33" s="527"/>
      <c r="L33" s="527"/>
      <c r="M33" s="527"/>
      <c r="N33" s="528"/>
      <c r="O33" s="514"/>
      <c r="P33" s="515"/>
      <c r="Q33" s="516"/>
      <c r="R33" s="487" t="s">
        <v>19</v>
      </c>
      <c r="S33" s="489" t="s">
        <v>45</v>
      </c>
      <c r="T33" s="490"/>
      <c r="U33" s="490"/>
      <c r="V33" s="490"/>
      <c r="W33" s="491"/>
      <c r="X33" s="470"/>
      <c r="Y33" s="470"/>
      <c r="Z33" s="475" t="s">
        <v>139</v>
      </c>
      <c r="AA33" s="476"/>
      <c r="AB33" s="477"/>
      <c r="AC33" s="484">
        <v>0.79166666666666663</v>
      </c>
      <c r="AD33" s="481"/>
      <c r="AE33" s="483" t="s">
        <v>69</v>
      </c>
    </row>
    <row r="34" spans="1:31" ht="11.15" customHeight="1">
      <c r="A34" s="437"/>
      <c r="B34" s="486"/>
      <c r="C34" s="547"/>
      <c r="D34" s="548"/>
      <c r="E34" s="529"/>
      <c r="F34" s="530"/>
      <c r="G34" s="530"/>
      <c r="H34" s="530"/>
      <c r="I34" s="530"/>
      <c r="J34" s="530"/>
      <c r="K34" s="530"/>
      <c r="L34" s="530"/>
      <c r="M34" s="530"/>
      <c r="N34" s="531"/>
      <c r="O34" s="549"/>
      <c r="P34" s="550"/>
      <c r="Q34" s="551"/>
      <c r="R34" s="488"/>
      <c r="S34" s="492"/>
      <c r="T34" s="493"/>
      <c r="U34" s="493"/>
      <c r="V34" s="493"/>
      <c r="W34" s="494"/>
      <c r="X34" s="471"/>
      <c r="Y34" s="471"/>
      <c r="Z34" s="495"/>
      <c r="AA34" s="496"/>
      <c r="AB34" s="497"/>
      <c r="AC34" s="498"/>
      <c r="AD34" s="499"/>
      <c r="AE34" s="500"/>
    </row>
    <row r="35" spans="1:31" ht="11.15" customHeight="1">
      <c r="A35" s="435">
        <v>5</v>
      </c>
      <c r="B35" s="501">
        <f>B29+1</f>
        <v>46192</v>
      </c>
      <c r="C35" s="439" t="s">
        <v>117</v>
      </c>
      <c r="D35" s="439"/>
      <c r="E35" s="502" t="s">
        <v>363</v>
      </c>
      <c r="F35" s="503"/>
      <c r="G35" s="503"/>
      <c r="H35" s="503"/>
      <c r="I35" s="503"/>
      <c r="J35" s="503"/>
      <c r="K35" s="503"/>
      <c r="L35" s="503"/>
      <c r="M35" s="503"/>
      <c r="N35" s="504"/>
      <c r="O35" s="532" t="s">
        <v>354</v>
      </c>
      <c r="P35" s="533"/>
      <c r="Q35" s="534"/>
      <c r="R35" s="460" t="s">
        <v>58</v>
      </c>
      <c r="S35" s="461"/>
      <c r="T35" s="461"/>
      <c r="U35" s="461"/>
      <c r="V35" s="461"/>
      <c r="W35" s="462"/>
      <c r="X35" s="469" t="s">
        <v>59</v>
      </c>
      <c r="Y35" s="469"/>
      <c r="Z35" s="517" t="s">
        <v>152</v>
      </c>
      <c r="AA35" s="518"/>
      <c r="AB35" s="519"/>
      <c r="AC35" s="538" t="s">
        <v>130</v>
      </c>
      <c r="AD35" s="539"/>
      <c r="AE35" s="522" t="s">
        <v>69</v>
      </c>
    </row>
    <row r="36" spans="1:31" ht="11.15" customHeight="1">
      <c r="A36" s="436"/>
      <c r="B36" s="438"/>
      <c r="C36" s="440"/>
      <c r="D36" s="440"/>
      <c r="E36" s="505"/>
      <c r="F36" s="506"/>
      <c r="G36" s="506"/>
      <c r="H36" s="506"/>
      <c r="I36" s="506"/>
      <c r="J36" s="506"/>
      <c r="K36" s="506"/>
      <c r="L36" s="506"/>
      <c r="M36" s="506"/>
      <c r="N36" s="507"/>
      <c r="O36" s="535"/>
      <c r="P36" s="536"/>
      <c r="Q36" s="537"/>
      <c r="R36" s="463"/>
      <c r="S36" s="464"/>
      <c r="T36" s="464"/>
      <c r="U36" s="464"/>
      <c r="V36" s="464"/>
      <c r="W36" s="465"/>
      <c r="X36" s="470"/>
      <c r="Y36" s="470"/>
      <c r="Z36" s="475"/>
      <c r="AA36" s="476"/>
      <c r="AB36" s="477"/>
      <c r="AC36" s="540"/>
      <c r="AD36" s="541"/>
      <c r="AE36" s="483"/>
    </row>
    <row r="37" spans="1:31" ht="11.15" customHeight="1">
      <c r="A37" s="436"/>
      <c r="B37" s="438"/>
      <c r="C37" s="440"/>
      <c r="D37" s="440"/>
      <c r="E37" s="505"/>
      <c r="F37" s="506"/>
      <c r="G37" s="506"/>
      <c r="H37" s="506"/>
      <c r="I37" s="506"/>
      <c r="J37" s="506"/>
      <c r="K37" s="506"/>
      <c r="L37" s="506"/>
      <c r="M37" s="506"/>
      <c r="N37" s="507"/>
      <c r="O37" s="535"/>
      <c r="P37" s="536"/>
      <c r="Q37" s="537"/>
      <c r="R37" s="463"/>
      <c r="S37" s="464"/>
      <c r="T37" s="464"/>
      <c r="U37" s="464"/>
      <c r="V37" s="464"/>
      <c r="W37" s="465"/>
      <c r="X37" s="470"/>
      <c r="Y37" s="470"/>
      <c r="Z37" s="475" t="s">
        <v>140</v>
      </c>
      <c r="AA37" s="476"/>
      <c r="AB37" s="477"/>
      <c r="AC37" s="484">
        <v>0.58333333333333337</v>
      </c>
      <c r="AD37" s="481"/>
      <c r="AE37" s="483" t="s">
        <v>24</v>
      </c>
    </row>
    <row r="38" spans="1:31" ht="11.15" customHeight="1">
      <c r="A38" s="436"/>
      <c r="B38" s="438"/>
      <c r="C38" s="440"/>
      <c r="D38" s="440"/>
      <c r="E38" s="505"/>
      <c r="F38" s="506"/>
      <c r="G38" s="506"/>
      <c r="H38" s="506"/>
      <c r="I38" s="506"/>
      <c r="J38" s="506"/>
      <c r="K38" s="506"/>
      <c r="L38" s="506"/>
      <c r="M38" s="506"/>
      <c r="N38" s="507"/>
      <c r="O38" s="535"/>
      <c r="P38" s="536"/>
      <c r="Q38" s="537"/>
      <c r="R38" s="466"/>
      <c r="S38" s="467"/>
      <c r="T38" s="467"/>
      <c r="U38" s="467"/>
      <c r="V38" s="467"/>
      <c r="W38" s="468"/>
      <c r="X38" s="470"/>
      <c r="Y38" s="470"/>
      <c r="Z38" s="475"/>
      <c r="AA38" s="476"/>
      <c r="AB38" s="477"/>
      <c r="AC38" s="480"/>
      <c r="AD38" s="481"/>
      <c r="AE38" s="483"/>
    </row>
    <row r="39" spans="1:31" ht="11.15" customHeight="1">
      <c r="A39" s="436"/>
      <c r="B39" s="485" t="str">
        <f>TEXT(B35,"(aaa)")</f>
        <v>(金)</v>
      </c>
      <c r="C39" s="440"/>
      <c r="D39" s="440"/>
      <c r="E39" s="505"/>
      <c r="F39" s="506"/>
      <c r="G39" s="506"/>
      <c r="H39" s="506"/>
      <c r="I39" s="506"/>
      <c r="J39" s="506"/>
      <c r="K39" s="506"/>
      <c r="L39" s="506"/>
      <c r="M39" s="506"/>
      <c r="N39" s="507"/>
      <c r="O39" s="535"/>
      <c r="P39" s="536"/>
      <c r="Q39" s="537"/>
      <c r="R39" s="487" t="s">
        <v>19</v>
      </c>
      <c r="S39" s="489" t="s">
        <v>45</v>
      </c>
      <c r="T39" s="490"/>
      <c r="U39" s="490"/>
      <c r="V39" s="490"/>
      <c r="W39" s="491"/>
      <c r="X39" s="470"/>
      <c r="Y39" s="470"/>
      <c r="Z39" s="475" t="s">
        <v>139</v>
      </c>
      <c r="AA39" s="476"/>
      <c r="AB39" s="477"/>
      <c r="AC39" s="484">
        <v>0.8125</v>
      </c>
      <c r="AD39" s="481"/>
      <c r="AE39" s="483" t="s">
        <v>69</v>
      </c>
    </row>
    <row r="40" spans="1:31" ht="11.15" customHeight="1">
      <c r="A40" s="437"/>
      <c r="B40" s="486"/>
      <c r="C40" s="441"/>
      <c r="D40" s="441"/>
      <c r="E40" s="508"/>
      <c r="F40" s="509"/>
      <c r="G40" s="509"/>
      <c r="H40" s="509"/>
      <c r="I40" s="509"/>
      <c r="J40" s="509"/>
      <c r="K40" s="509"/>
      <c r="L40" s="509"/>
      <c r="M40" s="509"/>
      <c r="N40" s="510"/>
      <c r="O40" s="552"/>
      <c r="P40" s="553"/>
      <c r="Q40" s="554"/>
      <c r="R40" s="488"/>
      <c r="S40" s="492"/>
      <c r="T40" s="493"/>
      <c r="U40" s="493"/>
      <c r="V40" s="493"/>
      <c r="W40" s="494"/>
      <c r="X40" s="471"/>
      <c r="Y40" s="471"/>
      <c r="Z40" s="495"/>
      <c r="AA40" s="496"/>
      <c r="AB40" s="497"/>
      <c r="AC40" s="498"/>
      <c r="AD40" s="499"/>
      <c r="AE40" s="500"/>
    </row>
    <row r="41" spans="1:31" ht="11.15" customHeight="1">
      <c r="A41" s="435">
        <v>6</v>
      </c>
      <c r="B41" s="501">
        <f>B35+1</f>
        <v>46193</v>
      </c>
      <c r="C41" s="543" t="s">
        <v>118</v>
      </c>
      <c r="D41" s="544"/>
      <c r="E41" s="523" t="s">
        <v>343</v>
      </c>
      <c r="F41" s="524"/>
      <c r="G41" s="524"/>
      <c r="H41" s="524"/>
      <c r="I41" s="524"/>
      <c r="J41" s="524"/>
      <c r="K41" s="524"/>
      <c r="L41" s="524"/>
      <c r="M41" s="524"/>
      <c r="N41" s="525"/>
      <c r="O41" s="532" t="s">
        <v>344</v>
      </c>
      <c r="P41" s="533"/>
      <c r="Q41" s="534"/>
      <c r="R41" s="460" t="s">
        <v>74</v>
      </c>
      <c r="S41" s="555"/>
      <c r="T41" s="555"/>
      <c r="U41" s="555"/>
      <c r="V41" s="555"/>
      <c r="W41" s="556"/>
      <c r="X41" s="469" t="s">
        <v>59</v>
      </c>
      <c r="Y41" s="469"/>
      <c r="Z41" s="517" t="s">
        <v>17</v>
      </c>
      <c r="AA41" s="518"/>
      <c r="AB41" s="519"/>
      <c r="AC41" s="520">
        <v>0.27083333333333331</v>
      </c>
      <c r="AD41" s="521"/>
      <c r="AE41" s="522"/>
    </row>
    <row r="42" spans="1:31" ht="11.15" customHeight="1">
      <c r="A42" s="436"/>
      <c r="B42" s="438"/>
      <c r="C42" s="545"/>
      <c r="D42" s="546"/>
      <c r="E42" s="526"/>
      <c r="F42" s="527"/>
      <c r="G42" s="527"/>
      <c r="H42" s="527"/>
      <c r="I42" s="527"/>
      <c r="J42" s="527"/>
      <c r="K42" s="527"/>
      <c r="L42" s="527"/>
      <c r="M42" s="527"/>
      <c r="N42" s="528"/>
      <c r="O42" s="535"/>
      <c r="P42" s="536"/>
      <c r="Q42" s="537"/>
      <c r="R42" s="557"/>
      <c r="S42" s="558"/>
      <c r="T42" s="558"/>
      <c r="U42" s="558"/>
      <c r="V42" s="558"/>
      <c r="W42" s="559"/>
      <c r="X42" s="470"/>
      <c r="Y42" s="470"/>
      <c r="Z42" s="475"/>
      <c r="AA42" s="476"/>
      <c r="AB42" s="477"/>
      <c r="AC42" s="480"/>
      <c r="AD42" s="481"/>
      <c r="AE42" s="483"/>
    </row>
    <row r="43" spans="1:31" ht="11.15" customHeight="1">
      <c r="A43" s="436"/>
      <c r="B43" s="438"/>
      <c r="C43" s="545"/>
      <c r="D43" s="546"/>
      <c r="E43" s="526"/>
      <c r="F43" s="527"/>
      <c r="G43" s="527"/>
      <c r="H43" s="527"/>
      <c r="I43" s="527"/>
      <c r="J43" s="527"/>
      <c r="K43" s="527"/>
      <c r="L43" s="527"/>
      <c r="M43" s="527"/>
      <c r="N43" s="528"/>
      <c r="O43" s="535"/>
      <c r="P43" s="536"/>
      <c r="Q43" s="537"/>
      <c r="R43" s="557"/>
      <c r="S43" s="558"/>
      <c r="T43" s="558"/>
      <c r="U43" s="558"/>
      <c r="V43" s="558"/>
      <c r="W43" s="559"/>
      <c r="X43" s="470"/>
      <c r="Y43" s="470"/>
      <c r="Z43" s="475" t="s">
        <v>142</v>
      </c>
      <c r="AA43" s="476"/>
      <c r="AB43" s="477"/>
      <c r="AC43" s="542">
        <v>0.5625</v>
      </c>
      <c r="AD43" s="481"/>
      <c r="AE43" s="483" t="s">
        <v>69</v>
      </c>
    </row>
    <row r="44" spans="1:31" ht="11.15" customHeight="1">
      <c r="A44" s="436"/>
      <c r="B44" s="438"/>
      <c r="C44" s="545"/>
      <c r="D44" s="546"/>
      <c r="E44" s="526"/>
      <c r="F44" s="527"/>
      <c r="G44" s="527"/>
      <c r="H44" s="527"/>
      <c r="I44" s="527"/>
      <c r="J44" s="527"/>
      <c r="K44" s="527"/>
      <c r="L44" s="527"/>
      <c r="M44" s="527"/>
      <c r="N44" s="528"/>
      <c r="O44" s="535"/>
      <c r="P44" s="536"/>
      <c r="Q44" s="537"/>
      <c r="R44" s="560"/>
      <c r="S44" s="561"/>
      <c r="T44" s="561"/>
      <c r="U44" s="561"/>
      <c r="V44" s="561"/>
      <c r="W44" s="562"/>
      <c r="X44" s="470"/>
      <c r="Y44" s="470"/>
      <c r="Z44" s="475"/>
      <c r="AA44" s="476"/>
      <c r="AB44" s="477"/>
      <c r="AC44" s="480"/>
      <c r="AD44" s="481"/>
      <c r="AE44" s="483"/>
    </row>
    <row r="45" spans="1:31" ht="11.15" customHeight="1">
      <c r="A45" s="436"/>
      <c r="B45" s="485" t="str">
        <f>TEXT(B41,"(aaa)")</f>
        <v>(土)</v>
      </c>
      <c r="C45" s="545"/>
      <c r="D45" s="546"/>
      <c r="E45" s="526"/>
      <c r="F45" s="527"/>
      <c r="G45" s="527"/>
      <c r="H45" s="527"/>
      <c r="I45" s="527"/>
      <c r="J45" s="527"/>
      <c r="K45" s="527"/>
      <c r="L45" s="527"/>
      <c r="M45" s="527"/>
      <c r="N45" s="528"/>
      <c r="O45" s="535"/>
      <c r="P45" s="536"/>
      <c r="Q45" s="537"/>
      <c r="R45" s="487" t="s">
        <v>18</v>
      </c>
      <c r="S45" s="564" t="s">
        <v>75</v>
      </c>
      <c r="T45" s="565"/>
      <c r="U45" s="565"/>
      <c r="V45" s="565"/>
      <c r="W45" s="566"/>
      <c r="X45" s="470"/>
      <c r="Y45" s="470"/>
      <c r="Z45" s="475" t="s">
        <v>37</v>
      </c>
      <c r="AA45" s="476"/>
      <c r="AB45" s="477"/>
      <c r="AC45" s="484">
        <v>0.79166666666666663</v>
      </c>
      <c r="AD45" s="481"/>
      <c r="AE45" s="483" t="s">
        <v>39</v>
      </c>
    </row>
    <row r="46" spans="1:31" ht="11.15" customHeight="1">
      <c r="A46" s="437"/>
      <c r="B46" s="486"/>
      <c r="C46" s="547"/>
      <c r="D46" s="548"/>
      <c r="E46" s="529"/>
      <c r="F46" s="530"/>
      <c r="G46" s="530"/>
      <c r="H46" s="530"/>
      <c r="I46" s="530"/>
      <c r="J46" s="530"/>
      <c r="K46" s="530"/>
      <c r="L46" s="530"/>
      <c r="M46" s="530"/>
      <c r="N46" s="531"/>
      <c r="O46" s="552"/>
      <c r="P46" s="553"/>
      <c r="Q46" s="554"/>
      <c r="R46" s="563"/>
      <c r="S46" s="567"/>
      <c r="T46" s="568"/>
      <c r="U46" s="568"/>
      <c r="V46" s="568"/>
      <c r="W46" s="569"/>
      <c r="X46" s="471"/>
      <c r="Y46" s="471"/>
      <c r="Z46" s="495"/>
      <c r="AA46" s="496"/>
      <c r="AB46" s="497"/>
      <c r="AC46" s="498"/>
      <c r="AD46" s="499"/>
      <c r="AE46" s="500"/>
    </row>
    <row r="47" spans="1:31" ht="11.15" customHeight="1">
      <c r="A47" s="435">
        <v>7</v>
      </c>
      <c r="B47" s="501">
        <f>B41+1</f>
        <v>46194</v>
      </c>
      <c r="C47" s="543" t="s">
        <v>118</v>
      </c>
      <c r="D47" s="544"/>
      <c r="E47" s="523" t="s">
        <v>345</v>
      </c>
      <c r="F47" s="524"/>
      <c r="G47" s="524"/>
      <c r="H47" s="524"/>
      <c r="I47" s="524"/>
      <c r="J47" s="524"/>
      <c r="K47" s="524"/>
      <c r="L47" s="524"/>
      <c r="M47" s="524"/>
      <c r="N47" s="525"/>
      <c r="O47" s="532" t="s">
        <v>346</v>
      </c>
      <c r="P47" s="533"/>
      <c r="Q47" s="534"/>
      <c r="R47" s="460" t="s">
        <v>74</v>
      </c>
      <c r="S47" s="555"/>
      <c r="T47" s="555"/>
      <c r="U47" s="555"/>
      <c r="V47" s="555"/>
      <c r="W47" s="556"/>
      <c r="X47" s="469" t="s">
        <v>59</v>
      </c>
      <c r="Y47" s="469"/>
      <c r="Z47" s="517" t="s">
        <v>17</v>
      </c>
      <c r="AA47" s="518"/>
      <c r="AB47" s="519"/>
      <c r="AC47" s="520">
        <v>0.28125</v>
      </c>
      <c r="AD47" s="521"/>
      <c r="AE47" s="522"/>
    </row>
    <row r="48" spans="1:31" ht="11.15" customHeight="1">
      <c r="A48" s="436"/>
      <c r="B48" s="438"/>
      <c r="C48" s="545"/>
      <c r="D48" s="546"/>
      <c r="E48" s="526"/>
      <c r="F48" s="527"/>
      <c r="G48" s="527"/>
      <c r="H48" s="527"/>
      <c r="I48" s="527"/>
      <c r="J48" s="527"/>
      <c r="K48" s="527"/>
      <c r="L48" s="527"/>
      <c r="M48" s="527"/>
      <c r="N48" s="528"/>
      <c r="O48" s="535"/>
      <c r="P48" s="536"/>
      <c r="Q48" s="537"/>
      <c r="R48" s="557"/>
      <c r="S48" s="558"/>
      <c r="T48" s="558"/>
      <c r="U48" s="558"/>
      <c r="V48" s="558"/>
      <c r="W48" s="559"/>
      <c r="X48" s="470"/>
      <c r="Y48" s="470"/>
      <c r="Z48" s="475"/>
      <c r="AA48" s="476"/>
      <c r="AB48" s="477"/>
      <c r="AC48" s="480"/>
      <c r="AD48" s="481"/>
      <c r="AE48" s="483"/>
    </row>
    <row r="49" spans="1:31" ht="11.15" customHeight="1">
      <c r="A49" s="436"/>
      <c r="B49" s="438"/>
      <c r="C49" s="545"/>
      <c r="D49" s="546"/>
      <c r="E49" s="526"/>
      <c r="F49" s="527"/>
      <c r="G49" s="527"/>
      <c r="H49" s="527"/>
      <c r="I49" s="527"/>
      <c r="J49" s="527"/>
      <c r="K49" s="527"/>
      <c r="L49" s="527"/>
      <c r="M49" s="527"/>
      <c r="N49" s="528"/>
      <c r="O49" s="535"/>
      <c r="P49" s="536"/>
      <c r="Q49" s="537"/>
      <c r="R49" s="557"/>
      <c r="S49" s="558"/>
      <c r="T49" s="558"/>
      <c r="U49" s="558"/>
      <c r="V49" s="558"/>
      <c r="W49" s="559"/>
      <c r="X49" s="470"/>
      <c r="Y49" s="470"/>
      <c r="Z49" s="475" t="s">
        <v>38</v>
      </c>
      <c r="AA49" s="476"/>
      <c r="AB49" s="477"/>
      <c r="AC49" s="484">
        <v>0.54166666666666663</v>
      </c>
      <c r="AD49" s="481"/>
      <c r="AE49" s="483" t="s">
        <v>40</v>
      </c>
    </row>
    <row r="50" spans="1:31" ht="11.15" customHeight="1">
      <c r="A50" s="436"/>
      <c r="B50" s="438"/>
      <c r="C50" s="545"/>
      <c r="D50" s="546"/>
      <c r="E50" s="526"/>
      <c r="F50" s="527"/>
      <c r="G50" s="527"/>
      <c r="H50" s="527"/>
      <c r="I50" s="527"/>
      <c r="J50" s="527"/>
      <c r="K50" s="527"/>
      <c r="L50" s="527"/>
      <c r="M50" s="527"/>
      <c r="N50" s="528"/>
      <c r="O50" s="535"/>
      <c r="P50" s="536"/>
      <c r="Q50" s="537"/>
      <c r="R50" s="560"/>
      <c r="S50" s="561"/>
      <c r="T50" s="561"/>
      <c r="U50" s="561"/>
      <c r="V50" s="561"/>
      <c r="W50" s="562"/>
      <c r="X50" s="470"/>
      <c r="Y50" s="470"/>
      <c r="Z50" s="475"/>
      <c r="AA50" s="476"/>
      <c r="AB50" s="477"/>
      <c r="AC50" s="480"/>
      <c r="AD50" s="481"/>
      <c r="AE50" s="483"/>
    </row>
    <row r="51" spans="1:31" ht="11.15" customHeight="1">
      <c r="A51" s="436"/>
      <c r="B51" s="485" t="str">
        <f>TEXT(B47,"(aaa)")</f>
        <v>(日)</v>
      </c>
      <c r="C51" s="545"/>
      <c r="D51" s="546"/>
      <c r="E51" s="526"/>
      <c r="F51" s="527"/>
      <c r="G51" s="527"/>
      <c r="H51" s="527"/>
      <c r="I51" s="527"/>
      <c r="J51" s="527"/>
      <c r="K51" s="527"/>
      <c r="L51" s="527"/>
      <c r="M51" s="527"/>
      <c r="N51" s="528"/>
      <c r="O51" s="535"/>
      <c r="P51" s="536"/>
      <c r="Q51" s="537"/>
      <c r="R51" s="487" t="s">
        <v>18</v>
      </c>
      <c r="S51" s="564" t="s">
        <v>75</v>
      </c>
      <c r="T51" s="565"/>
      <c r="U51" s="565"/>
      <c r="V51" s="565"/>
      <c r="W51" s="566"/>
      <c r="X51" s="470"/>
      <c r="Y51" s="470"/>
      <c r="Z51" s="475" t="s">
        <v>37</v>
      </c>
      <c r="AA51" s="476"/>
      <c r="AB51" s="477"/>
      <c r="AC51" s="484">
        <v>0.79166666666666663</v>
      </c>
      <c r="AD51" s="481"/>
      <c r="AE51" s="483" t="s">
        <v>40</v>
      </c>
    </row>
    <row r="52" spans="1:31" ht="11.15" customHeight="1">
      <c r="A52" s="437"/>
      <c r="B52" s="486"/>
      <c r="C52" s="547"/>
      <c r="D52" s="548"/>
      <c r="E52" s="529"/>
      <c r="F52" s="530"/>
      <c r="G52" s="530"/>
      <c r="H52" s="530"/>
      <c r="I52" s="530"/>
      <c r="J52" s="530"/>
      <c r="K52" s="530"/>
      <c r="L52" s="530"/>
      <c r="M52" s="530"/>
      <c r="N52" s="531"/>
      <c r="O52" s="535"/>
      <c r="P52" s="536"/>
      <c r="Q52" s="537"/>
      <c r="R52" s="563"/>
      <c r="S52" s="567"/>
      <c r="T52" s="568"/>
      <c r="U52" s="568"/>
      <c r="V52" s="568"/>
      <c r="W52" s="569"/>
      <c r="X52" s="471"/>
      <c r="Y52" s="471"/>
      <c r="Z52" s="495"/>
      <c r="AA52" s="496"/>
      <c r="AB52" s="497"/>
      <c r="AC52" s="498"/>
      <c r="AD52" s="499"/>
      <c r="AE52" s="500"/>
    </row>
    <row r="53" spans="1:31" ht="11.15" customHeight="1">
      <c r="A53" s="228">
        <v>8</v>
      </c>
      <c r="B53" s="231">
        <f>B47+1</f>
        <v>46195</v>
      </c>
      <c r="C53" s="339" t="s">
        <v>365</v>
      </c>
      <c r="D53" s="340"/>
      <c r="E53" s="236" t="s">
        <v>366</v>
      </c>
      <c r="F53" s="237"/>
      <c r="G53" s="237"/>
      <c r="H53" s="237"/>
      <c r="I53" s="237"/>
      <c r="J53" s="237"/>
      <c r="K53" s="237"/>
      <c r="L53" s="237"/>
      <c r="M53" s="237"/>
      <c r="N53" s="238"/>
      <c r="O53" s="314" t="s">
        <v>159</v>
      </c>
      <c r="P53" s="315"/>
      <c r="Q53" s="316"/>
      <c r="R53" s="251" t="s">
        <v>136</v>
      </c>
      <c r="S53" s="374"/>
      <c r="T53" s="374"/>
      <c r="U53" s="374"/>
      <c r="V53" s="374"/>
      <c r="W53" s="375"/>
      <c r="X53" s="260" t="s">
        <v>59</v>
      </c>
      <c r="Y53" s="260"/>
      <c r="Z53" s="472" t="s">
        <v>17</v>
      </c>
      <c r="AA53" s="473"/>
      <c r="AB53" s="474"/>
      <c r="AC53" s="570">
        <v>0.28125</v>
      </c>
      <c r="AD53" s="479"/>
      <c r="AE53" s="395"/>
    </row>
    <row r="54" spans="1:31" ht="11.15" customHeight="1">
      <c r="A54" s="229"/>
      <c r="B54" s="232"/>
      <c r="C54" s="341"/>
      <c r="D54" s="342"/>
      <c r="E54" s="239"/>
      <c r="F54" s="240"/>
      <c r="G54" s="240"/>
      <c r="H54" s="240"/>
      <c r="I54" s="240"/>
      <c r="J54" s="240"/>
      <c r="K54" s="240"/>
      <c r="L54" s="240"/>
      <c r="M54" s="240"/>
      <c r="N54" s="241"/>
      <c r="O54" s="317"/>
      <c r="P54" s="318"/>
      <c r="Q54" s="319"/>
      <c r="R54" s="376"/>
      <c r="S54" s="377"/>
      <c r="T54" s="377"/>
      <c r="U54" s="377"/>
      <c r="V54" s="377"/>
      <c r="W54" s="378"/>
      <c r="X54" s="261"/>
      <c r="Y54" s="261"/>
      <c r="Z54" s="475"/>
      <c r="AA54" s="476"/>
      <c r="AB54" s="477"/>
      <c r="AC54" s="480"/>
      <c r="AD54" s="481"/>
      <c r="AE54" s="326"/>
    </row>
    <row r="55" spans="1:31" ht="11.15" customHeight="1">
      <c r="A55" s="229"/>
      <c r="B55" s="232"/>
      <c r="C55" s="341"/>
      <c r="D55" s="342"/>
      <c r="E55" s="239"/>
      <c r="F55" s="240"/>
      <c r="G55" s="240"/>
      <c r="H55" s="240"/>
      <c r="I55" s="240"/>
      <c r="J55" s="240"/>
      <c r="K55" s="240"/>
      <c r="L55" s="240"/>
      <c r="M55" s="240"/>
      <c r="N55" s="241"/>
      <c r="O55" s="317"/>
      <c r="P55" s="318"/>
      <c r="Q55" s="319"/>
      <c r="R55" s="376"/>
      <c r="S55" s="377"/>
      <c r="T55" s="377"/>
      <c r="U55" s="377"/>
      <c r="V55" s="377"/>
      <c r="W55" s="378"/>
      <c r="X55" s="261"/>
      <c r="Y55" s="261"/>
      <c r="Z55" s="401" t="s">
        <v>126</v>
      </c>
      <c r="AA55" s="402"/>
      <c r="AB55" s="403"/>
      <c r="AC55" s="212">
        <v>0.52777777777777779</v>
      </c>
      <c r="AD55" s="213"/>
      <c r="AE55" s="326" t="s">
        <v>63</v>
      </c>
    </row>
    <row r="56" spans="1:31" ht="11.15" customHeight="1">
      <c r="A56" s="229"/>
      <c r="B56" s="232"/>
      <c r="C56" s="341"/>
      <c r="D56" s="342"/>
      <c r="E56" s="239"/>
      <c r="F56" s="240"/>
      <c r="G56" s="240"/>
      <c r="H56" s="240"/>
      <c r="I56" s="240"/>
      <c r="J56" s="240"/>
      <c r="K56" s="240"/>
      <c r="L56" s="240"/>
      <c r="M56" s="240"/>
      <c r="N56" s="241"/>
      <c r="O56" s="317"/>
      <c r="P56" s="318"/>
      <c r="Q56" s="319"/>
      <c r="R56" s="379"/>
      <c r="S56" s="380"/>
      <c r="T56" s="380"/>
      <c r="U56" s="380"/>
      <c r="V56" s="380"/>
      <c r="W56" s="381"/>
      <c r="X56" s="261"/>
      <c r="Y56" s="261"/>
      <c r="Z56" s="401"/>
      <c r="AA56" s="402"/>
      <c r="AB56" s="403"/>
      <c r="AC56" s="214"/>
      <c r="AD56" s="213"/>
      <c r="AE56" s="326"/>
    </row>
    <row r="57" spans="1:31" ht="11.15" customHeight="1">
      <c r="A57" s="229"/>
      <c r="B57" s="288" t="str">
        <f>TEXT(B53,"(aaa)")</f>
        <v>(月)</v>
      </c>
      <c r="C57" s="341"/>
      <c r="D57" s="342"/>
      <c r="E57" s="239"/>
      <c r="F57" s="240"/>
      <c r="G57" s="240"/>
      <c r="H57" s="240"/>
      <c r="I57" s="240"/>
      <c r="J57" s="240"/>
      <c r="K57" s="240"/>
      <c r="L57" s="240"/>
      <c r="M57" s="240"/>
      <c r="N57" s="241"/>
      <c r="O57" s="317"/>
      <c r="P57" s="318"/>
      <c r="Q57" s="319"/>
      <c r="R57" s="290" t="s">
        <v>137</v>
      </c>
      <c r="S57" s="292" t="s">
        <v>138</v>
      </c>
      <c r="T57" s="384"/>
      <c r="U57" s="384"/>
      <c r="V57" s="384"/>
      <c r="W57" s="385"/>
      <c r="X57" s="261"/>
      <c r="Y57" s="261"/>
      <c r="Z57" s="320" t="s">
        <v>143</v>
      </c>
      <c r="AA57" s="321"/>
      <c r="AB57" s="322"/>
      <c r="AC57" s="212">
        <v>0.79166666666666663</v>
      </c>
      <c r="AD57" s="213"/>
      <c r="AE57" s="326" t="s">
        <v>144</v>
      </c>
    </row>
    <row r="58" spans="1:31" ht="11.15" customHeight="1">
      <c r="A58" s="230"/>
      <c r="B58" s="289"/>
      <c r="C58" s="343"/>
      <c r="D58" s="344"/>
      <c r="E58" s="242"/>
      <c r="F58" s="243"/>
      <c r="G58" s="243"/>
      <c r="H58" s="243"/>
      <c r="I58" s="243"/>
      <c r="J58" s="243"/>
      <c r="K58" s="243"/>
      <c r="L58" s="243"/>
      <c r="M58" s="243"/>
      <c r="N58" s="244"/>
      <c r="O58" s="317"/>
      <c r="P58" s="318"/>
      <c r="Q58" s="319"/>
      <c r="R58" s="382"/>
      <c r="S58" s="386"/>
      <c r="T58" s="387"/>
      <c r="U58" s="387"/>
      <c r="V58" s="387"/>
      <c r="W58" s="388"/>
      <c r="X58" s="262"/>
      <c r="Y58" s="262"/>
      <c r="Z58" s="357"/>
      <c r="AA58" s="358"/>
      <c r="AB58" s="359"/>
      <c r="AC58" s="266"/>
      <c r="AD58" s="267"/>
      <c r="AE58" s="338"/>
    </row>
    <row r="59" spans="1:31" ht="11.15" customHeight="1">
      <c r="A59" s="228">
        <v>9</v>
      </c>
      <c r="B59" s="231">
        <f>B53+1</f>
        <v>46196</v>
      </c>
      <c r="C59" s="339" t="s">
        <v>115</v>
      </c>
      <c r="D59" s="340"/>
      <c r="E59" s="404" t="s">
        <v>129</v>
      </c>
      <c r="F59" s="405"/>
      <c r="G59" s="405"/>
      <c r="H59" s="405"/>
      <c r="I59" s="405"/>
      <c r="J59" s="405"/>
      <c r="K59" s="405"/>
      <c r="L59" s="405"/>
      <c r="M59" s="405"/>
      <c r="N59" s="406"/>
      <c r="O59" s="314"/>
      <c r="P59" s="315"/>
      <c r="Q59" s="316"/>
      <c r="R59" s="251" t="s">
        <v>121</v>
      </c>
      <c r="S59" s="374"/>
      <c r="T59" s="374"/>
      <c r="U59" s="374"/>
      <c r="V59" s="374"/>
      <c r="W59" s="375"/>
      <c r="X59" s="260" t="s">
        <v>59</v>
      </c>
      <c r="Y59" s="260"/>
      <c r="Z59" s="398" t="s">
        <v>17</v>
      </c>
      <c r="AA59" s="399"/>
      <c r="AB59" s="400"/>
      <c r="AC59" s="394">
        <v>0.29166666666666669</v>
      </c>
      <c r="AD59" s="224"/>
      <c r="AE59" s="395"/>
    </row>
    <row r="60" spans="1:31" ht="11.15" customHeight="1">
      <c r="A60" s="229"/>
      <c r="B60" s="232"/>
      <c r="C60" s="341"/>
      <c r="D60" s="342"/>
      <c r="E60" s="407"/>
      <c r="F60" s="408"/>
      <c r="G60" s="408"/>
      <c r="H60" s="408"/>
      <c r="I60" s="408"/>
      <c r="J60" s="408"/>
      <c r="K60" s="408"/>
      <c r="L60" s="408"/>
      <c r="M60" s="408"/>
      <c r="N60" s="409"/>
      <c r="O60" s="317"/>
      <c r="P60" s="318"/>
      <c r="Q60" s="319"/>
      <c r="R60" s="376"/>
      <c r="S60" s="377"/>
      <c r="T60" s="377"/>
      <c r="U60" s="377"/>
      <c r="V60" s="377"/>
      <c r="W60" s="378"/>
      <c r="X60" s="261"/>
      <c r="Y60" s="261"/>
      <c r="Z60" s="320"/>
      <c r="AA60" s="321"/>
      <c r="AB60" s="322"/>
      <c r="AC60" s="214"/>
      <c r="AD60" s="213"/>
      <c r="AE60" s="326"/>
    </row>
    <row r="61" spans="1:31" ht="11.15" customHeight="1">
      <c r="A61" s="229"/>
      <c r="B61" s="232"/>
      <c r="C61" s="341"/>
      <c r="D61" s="342"/>
      <c r="E61" s="407"/>
      <c r="F61" s="408"/>
      <c r="G61" s="408"/>
      <c r="H61" s="408"/>
      <c r="I61" s="408"/>
      <c r="J61" s="408"/>
      <c r="K61" s="408"/>
      <c r="L61" s="408"/>
      <c r="M61" s="408"/>
      <c r="N61" s="409"/>
      <c r="O61" s="317"/>
      <c r="P61" s="318"/>
      <c r="Q61" s="319"/>
      <c r="R61" s="376"/>
      <c r="S61" s="377"/>
      <c r="T61" s="377"/>
      <c r="U61" s="377"/>
      <c r="V61" s="377"/>
      <c r="W61" s="378"/>
      <c r="X61" s="261"/>
      <c r="Y61" s="261"/>
      <c r="Z61" s="320" t="s">
        <v>65</v>
      </c>
      <c r="AA61" s="321"/>
      <c r="AB61" s="322"/>
      <c r="AC61" s="212">
        <v>0.52083333333333337</v>
      </c>
      <c r="AD61" s="213"/>
      <c r="AE61" s="326" t="s">
        <v>64</v>
      </c>
    </row>
    <row r="62" spans="1:31" ht="11.15" customHeight="1">
      <c r="A62" s="229"/>
      <c r="B62" s="232"/>
      <c r="C62" s="341"/>
      <c r="D62" s="342"/>
      <c r="E62" s="407"/>
      <c r="F62" s="408"/>
      <c r="G62" s="408"/>
      <c r="H62" s="408"/>
      <c r="I62" s="408"/>
      <c r="J62" s="408"/>
      <c r="K62" s="408"/>
      <c r="L62" s="408"/>
      <c r="M62" s="408"/>
      <c r="N62" s="409"/>
      <c r="O62" s="317"/>
      <c r="P62" s="318"/>
      <c r="Q62" s="319"/>
      <c r="R62" s="379"/>
      <c r="S62" s="380"/>
      <c r="T62" s="380"/>
      <c r="U62" s="380"/>
      <c r="V62" s="380"/>
      <c r="W62" s="381"/>
      <c r="X62" s="261"/>
      <c r="Y62" s="261"/>
      <c r="Z62" s="320"/>
      <c r="AA62" s="321"/>
      <c r="AB62" s="322"/>
      <c r="AC62" s="214"/>
      <c r="AD62" s="213"/>
      <c r="AE62" s="326"/>
    </row>
    <row r="63" spans="1:31" ht="11.15" customHeight="1">
      <c r="A63" s="229"/>
      <c r="B63" s="288" t="str">
        <f>TEXT(B59,"(aaa)")</f>
        <v>(火)</v>
      </c>
      <c r="C63" s="341"/>
      <c r="D63" s="342"/>
      <c r="E63" s="407"/>
      <c r="F63" s="408"/>
      <c r="G63" s="408"/>
      <c r="H63" s="408"/>
      <c r="I63" s="408"/>
      <c r="J63" s="408"/>
      <c r="K63" s="408"/>
      <c r="L63" s="408"/>
      <c r="M63" s="408"/>
      <c r="N63" s="409"/>
      <c r="O63" s="317"/>
      <c r="P63" s="318"/>
      <c r="Q63" s="319"/>
      <c r="R63" s="290" t="s">
        <v>76</v>
      </c>
      <c r="S63" s="292" t="s">
        <v>120</v>
      </c>
      <c r="T63" s="384"/>
      <c r="U63" s="384"/>
      <c r="V63" s="384"/>
      <c r="W63" s="385"/>
      <c r="X63" s="261"/>
      <c r="Y63" s="261"/>
      <c r="Z63" s="320" t="s">
        <v>146</v>
      </c>
      <c r="AA63" s="321"/>
      <c r="AB63" s="322"/>
      <c r="AC63" s="212">
        <v>0.79166666666666663</v>
      </c>
      <c r="AD63" s="213"/>
      <c r="AE63" s="215" t="s">
        <v>27</v>
      </c>
    </row>
    <row r="64" spans="1:31" ht="11.15" customHeight="1">
      <c r="A64" s="230"/>
      <c r="B64" s="289"/>
      <c r="C64" s="343"/>
      <c r="D64" s="344"/>
      <c r="E64" s="410"/>
      <c r="F64" s="411"/>
      <c r="G64" s="411"/>
      <c r="H64" s="411"/>
      <c r="I64" s="411"/>
      <c r="J64" s="411"/>
      <c r="K64" s="411"/>
      <c r="L64" s="411"/>
      <c r="M64" s="411"/>
      <c r="N64" s="412"/>
      <c r="O64" s="317"/>
      <c r="P64" s="318"/>
      <c r="Q64" s="319"/>
      <c r="R64" s="382"/>
      <c r="S64" s="386"/>
      <c r="T64" s="387"/>
      <c r="U64" s="387"/>
      <c r="V64" s="387"/>
      <c r="W64" s="388"/>
      <c r="X64" s="262"/>
      <c r="Y64" s="262"/>
      <c r="Z64" s="357"/>
      <c r="AA64" s="358"/>
      <c r="AB64" s="359"/>
      <c r="AC64" s="266"/>
      <c r="AD64" s="267"/>
      <c r="AE64" s="268"/>
    </row>
    <row r="65" spans="1:31" ht="11.15" customHeight="1">
      <c r="A65" s="228">
        <v>10</v>
      </c>
      <c r="B65" s="231">
        <f t="shared" ref="B65" si="0">B59+1</f>
        <v>46197</v>
      </c>
      <c r="C65" s="339" t="s">
        <v>115</v>
      </c>
      <c r="D65" s="340"/>
      <c r="E65" s="345" t="s">
        <v>81</v>
      </c>
      <c r="F65" s="346"/>
      <c r="G65" s="346"/>
      <c r="H65" s="346"/>
      <c r="I65" s="346"/>
      <c r="J65" s="346"/>
      <c r="K65" s="346"/>
      <c r="L65" s="346"/>
      <c r="M65" s="346"/>
      <c r="N65" s="347"/>
      <c r="O65" s="314" t="s">
        <v>333</v>
      </c>
      <c r="P65" s="315"/>
      <c r="Q65" s="316"/>
      <c r="R65" s="251" t="s">
        <v>121</v>
      </c>
      <c r="S65" s="374"/>
      <c r="T65" s="374"/>
      <c r="U65" s="374"/>
      <c r="V65" s="374"/>
      <c r="W65" s="375"/>
      <c r="X65" s="260" t="s">
        <v>59</v>
      </c>
      <c r="Y65" s="260"/>
      <c r="Z65" s="398" t="s">
        <v>17</v>
      </c>
      <c r="AA65" s="399"/>
      <c r="AB65" s="400"/>
      <c r="AC65" s="372">
        <v>0.27083333333333331</v>
      </c>
      <c r="AD65" s="373"/>
      <c r="AE65" s="395"/>
    </row>
    <row r="66" spans="1:31" ht="11.15" customHeight="1">
      <c r="A66" s="229"/>
      <c r="B66" s="232"/>
      <c r="C66" s="341"/>
      <c r="D66" s="342"/>
      <c r="E66" s="348"/>
      <c r="F66" s="349"/>
      <c r="G66" s="349"/>
      <c r="H66" s="349"/>
      <c r="I66" s="349"/>
      <c r="J66" s="349"/>
      <c r="K66" s="349"/>
      <c r="L66" s="349"/>
      <c r="M66" s="349"/>
      <c r="N66" s="350"/>
      <c r="O66" s="317"/>
      <c r="P66" s="318"/>
      <c r="Q66" s="319"/>
      <c r="R66" s="376"/>
      <c r="S66" s="377"/>
      <c r="T66" s="377"/>
      <c r="U66" s="377"/>
      <c r="V66" s="377"/>
      <c r="W66" s="378"/>
      <c r="X66" s="261"/>
      <c r="Y66" s="261"/>
      <c r="Z66" s="320"/>
      <c r="AA66" s="321"/>
      <c r="AB66" s="322"/>
      <c r="AC66" s="325"/>
      <c r="AD66" s="324"/>
      <c r="AE66" s="326"/>
    </row>
    <row r="67" spans="1:31" ht="11.15" customHeight="1">
      <c r="A67" s="229"/>
      <c r="B67" s="232"/>
      <c r="C67" s="341"/>
      <c r="D67" s="342"/>
      <c r="E67" s="348"/>
      <c r="F67" s="349"/>
      <c r="G67" s="349"/>
      <c r="H67" s="349"/>
      <c r="I67" s="349"/>
      <c r="J67" s="349"/>
      <c r="K67" s="349"/>
      <c r="L67" s="349"/>
      <c r="M67" s="349"/>
      <c r="N67" s="350"/>
      <c r="O67" s="317"/>
      <c r="P67" s="318"/>
      <c r="Q67" s="319"/>
      <c r="R67" s="376"/>
      <c r="S67" s="377"/>
      <c r="T67" s="377"/>
      <c r="U67" s="377"/>
      <c r="V67" s="377"/>
      <c r="W67" s="378"/>
      <c r="X67" s="261"/>
      <c r="Y67" s="261"/>
      <c r="Z67" s="320" t="s">
        <v>80</v>
      </c>
      <c r="AA67" s="321"/>
      <c r="AB67" s="322"/>
      <c r="AC67" s="413" t="s">
        <v>36</v>
      </c>
      <c r="AD67" s="213"/>
      <c r="AE67" s="326"/>
    </row>
    <row r="68" spans="1:31" ht="11.15" customHeight="1">
      <c r="A68" s="229"/>
      <c r="B68" s="232"/>
      <c r="C68" s="341"/>
      <c r="D68" s="342"/>
      <c r="E68" s="348"/>
      <c r="F68" s="349"/>
      <c r="G68" s="349"/>
      <c r="H68" s="349"/>
      <c r="I68" s="349"/>
      <c r="J68" s="349"/>
      <c r="K68" s="349"/>
      <c r="L68" s="349"/>
      <c r="M68" s="349"/>
      <c r="N68" s="350"/>
      <c r="O68" s="317"/>
      <c r="P68" s="318"/>
      <c r="Q68" s="319"/>
      <c r="R68" s="379"/>
      <c r="S68" s="380"/>
      <c r="T68" s="380"/>
      <c r="U68" s="380"/>
      <c r="V68" s="380"/>
      <c r="W68" s="381"/>
      <c r="X68" s="261"/>
      <c r="Y68" s="261"/>
      <c r="Z68" s="320"/>
      <c r="AA68" s="321"/>
      <c r="AB68" s="322"/>
      <c r="AC68" s="214"/>
      <c r="AD68" s="213"/>
      <c r="AE68" s="326"/>
    </row>
    <row r="69" spans="1:31" ht="11.15" customHeight="1">
      <c r="A69" s="229"/>
      <c r="B69" s="288" t="str">
        <f>TEXT(B65,"(aaa)")</f>
        <v>(水)</v>
      </c>
      <c r="C69" s="341"/>
      <c r="D69" s="342"/>
      <c r="E69" s="348"/>
      <c r="F69" s="349"/>
      <c r="G69" s="349"/>
      <c r="H69" s="349"/>
      <c r="I69" s="349"/>
      <c r="J69" s="349"/>
      <c r="K69" s="349"/>
      <c r="L69" s="349"/>
      <c r="M69" s="349"/>
      <c r="N69" s="350"/>
      <c r="O69" s="317"/>
      <c r="P69" s="318"/>
      <c r="Q69" s="319"/>
      <c r="R69" s="290" t="s">
        <v>76</v>
      </c>
      <c r="S69" s="292" t="s">
        <v>120</v>
      </c>
      <c r="T69" s="384"/>
      <c r="U69" s="384"/>
      <c r="V69" s="384"/>
      <c r="W69" s="385"/>
      <c r="X69" s="261"/>
      <c r="Y69" s="261"/>
      <c r="Z69" s="320" t="s">
        <v>151</v>
      </c>
      <c r="AA69" s="321"/>
      <c r="AB69" s="322"/>
      <c r="AC69" s="212">
        <v>0.79166666666666663</v>
      </c>
      <c r="AD69" s="213"/>
      <c r="AE69" s="326" t="s">
        <v>147</v>
      </c>
    </row>
    <row r="70" spans="1:31" ht="11.15" customHeight="1">
      <c r="A70" s="230"/>
      <c r="B70" s="289"/>
      <c r="C70" s="343"/>
      <c r="D70" s="344"/>
      <c r="E70" s="351"/>
      <c r="F70" s="352"/>
      <c r="G70" s="352"/>
      <c r="H70" s="352"/>
      <c r="I70" s="352"/>
      <c r="J70" s="352"/>
      <c r="K70" s="352"/>
      <c r="L70" s="352"/>
      <c r="M70" s="352"/>
      <c r="N70" s="353"/>
      <c r="O70" s="317"/>
      <c r="P70" s="318"/>
      <c r="Q70" s="319"/>
      <c r="R70" s="382"/>
      <c r="S70" s="386"/>
      <c r="T70" s="387"/>
      <c r="U70" s="387"/>
      <c r="V70" s="387"/>
      <c r="W70" s="388"/>
      <c r="X70" s="262"/>
      <c r="Y70" s="262"/>
      <c r="Z70" s="357"/>
      <c r="AA70" s="358"/>
      <c r="AB70" s="359"/>
      <c r="AC70" s="266"/>
      <c r="AD70" s="267"/>
      <c r="AE70" s="338"/>
    </row>
    <row r="71" spans="1:31" ht="11.15" customHeight="1">
      <c r="A71" s="228">
        <v>11</v>
      </c>
      <c r="B71" s="231">
        <f t="shared" ref="B71" si="1">B65+1</f>
        <v>46198</v>
      </c>
      <c r="C71" s="339" t="s">
        <v>115</v>
      </c>
      <c r="D71" s="340"/>
      <c r="E71" s="305" t="s">
        <v>122</v>
      </c>
      <c r="F71" s="306"/>
      <c r="G71" s="306"/>
      <c r="H71" s="306"/>
      <c r="I71" s="306"/>
      <c r="J71" s="306"/>
      <c r="K71" s="306"/>
      <c r="L71" s="306"/>
      <c r="M71" s="306"/>
      <c r="N71" s="307"/>
      <c r="O71" s="583" t="s">
        <v>172</v>
      </c>
      <c r="P71" s="584"/>
      <c r="Q71" s="585"/>
      <c r="R71" s="423" t="s">
        <v>62</v>
      </c>
      <c r="S71" s="252"/>
      <c r="T71" s="252"/>
      <c r="U71" s="252"/>
      <c r="V71" s="252"/>
      <c r="W71" s="253"/>
      <c r="X71" s="424"/>
      <c r="Y71" s="425"/>
      <c r="Z71" s="327" t="s">
        <v>17</v>
      </c>
      <c r="AA71" s="328"/>
      <c r="AB71" s="329"/>
      <c r="AC71" s="372">
        <v>0.27083333333333331</v>
      </c>
      <c r="AD71" s="373"/>
      <c r="AE71" s="334"/>
    </row>
    <row r="72" spans="1:31" ht="11.15" customHeight="1">
      <c r="A72" s="229"/>
      <c r="B72" s="232"/>
      <c r="C72" s="341"/>
      <c r="D72" s="342"/>
      <c r="E72" s="308"/>
      <c r="F72" s="309"/>
      <c r="G72" s="309"/>
      <c r="H72" s="309"/>
      <c r="I72" s="309"/>
      <c r="J72" s="309"/>
      <c r="K72" s="309"/>
      <c r="L72" s="309"/>
      <c r="M72" s="309"/>
      <c r="N72" s="310"/>
      <c r="O72" s="586"/>
      <c r="P72" s="587"/>
      <c r="Q72" s="588"/>
      <c r="R72" s="254"/>
      <c r="S72" s="255"/>
      <c r="T72" s="255"/>
      <c r="U72" s="255"/>
      <c r="V72" s="255"/>
      <c r="W72" s="256"/>
      <c r="X72" s="426"/>
      <c r="Y72" s="426"/>
      <c r="Z72" s="320"/>
      <c r="AA72" s="321"/>
      <c r="AB72" s="322"/>
      <c r="AC72" s="325"/>
      <c r="AD72" s="324"/>
      <c r="AE72" s="326"/>
    </row>
    <row r="73" spans="1:31" ht="11.15" customHeight="1">
      <c r="A73" s="229"/>
      <c r="B73" s="232"/>
      <c r="C73" s="341"/>
      <c r="D73" s="342"/>
      <c r="E73" s="308"/>
      <c r="F73" s="309"/>
      <c r="G73" s="309"/>
      <c r="H73" s="309"/>
      <c r="I73" s="309"/>
      <c r="J73" s="309"/>
      <c r="K73" s="309"/>
      <c r="L73" s="309"/>
      <c r="M73" s="309"/>
      <c r="N73" s="310"/>
      <c r="O73" s="586"/>
      <c r="P73" s="587"/>
      <c r="Q73" s="588"/>
      <c r="R73" s="254"/>
      <c r="S73" s="255"/>
      <c r="T73" s="255"/>
      <c r="U73" s="255"/>
      <c r="V73" s="255"/>
      <c r="W73" s="256"/>
      <c r="X73" s="427"/>
      <c r="Y73" s="427"/>
      <c r="Z73" s="320" t="s">
        <v>43</v>
      </c>
      <c r="AA73" s="321"/>
      <c r="AB73" s="322"/>
      <c r="AC73" s="413" t="s">
        <v>36</v>
      </c>
      <c r="AD73" s="213"/>
      <c r="AE73" s="215"/>
    </row>
    <row r="74" spans="1:31" ht="11.15" customHeight="1">
      <c r="A74" s="229"/>
      <c r="B74" s="232"/>
      <c r="C74" s="341"/>
      <c r="D74" s="342"/>
      <c r="E74" s="429" t="s">
        <v>79</v>
      </c>
      <c r="F74" s="430"/>
      <c r="G74" s="430"/>
      <c r="H74" s="430"/>
      <c r="I74" s="430"/>
      <c r="J74" s="430"/>
      <c r="K74" s="430"/>
      <c r="L74" s="430"/>
      <c r="M74" s="430"/>
      <c r="N74" s="431"/>
      <c r="O74" s="586"/>
      <c r="P74" s="587"/>
      <c r="Q74" s="588"/>
      <c r="R74" s="257"/>
      <c r="S74" s="258"/>
      <c r="T74" s="258"/>
      <c r="U74" s="258"/>
      <c r="V74" s="258"/>
      <c r="W74" s="259"/>
      <c r="X74" s="427"/>
      <c r="Y74" s="427"/>
      <c r="Z74" s="320"/>
      <c r="AA74" s="321"/>
      <c r="AB74" s="322"/>
      <c r="AC74" s="214"/>
      <c r="AD74" s="213"/>
      <c r="AE74" s="215"/>
    </row>
    <row r="75" spans="1:31" ht="11.15" customHeight="1">
      <c r="A75" s="229"/>
      <c r="B75" s="288" t="str">
        <f>TEXT(B71,"(aaa)")</f>
        <v>(木)</v>
      </c>
      <c r="C75" s="341"/>
      <c r="D75" s="342"/>
      <c r="E75" s="429"/>
      <c r="F75" s="430"/>
      <c r="G75" s="430"/>
      <c r="H75" s="430"/>
      <c r="I75" s="430"/>
      <c r="J75" s="430"/>
      <c r="K75" s="430"/>
      <c r="L75" s="430"/>
      <c r="M75" s="430"/>
      <c r="N75" s="431"/>
      <c r="O75" s="586"/>
      <c r="P75" s="587"/>
      <c r="Q75" s="588"/>
      <c r="R75" s="385"/>
      <c r="S75" s="292"/>
      <c r="T75" s="293"/>
      <c r="U75" s="293"/>
      <c r="V75" s="293"/>
      <c r="W75" s="294"/>
      <c r="X75" s="427"/>
      <c r="Y75" s="427"/>
      <c r="Z75" s="320" t="s">
        <v>44</v>
      </c>
      <c r="AA75" s="321"/>
      <c r="AB75" s="322"/>
      <c r="AC75" s="413" t="s">
        <v>36</v>
      </c>
      <c r="AD75" s="213"/>
      <c r="AE75" s="215"/>
    </row>
    <row r="76" spans="1:31" ht="11.15" customHeight="1">
      <c r="A76" s="230"/>
      <c r="B76" s="289"/>
      <c r="C76" s="343"/>
      <c r="D76" s="344"/>
      <c r="E76" s="432"/>
      <c r="F76" s="433"/>
      <c r="G76" s="433"/>
      <c r="H76" s="433"/>
      <c r="I76" s="433"/>
      <c r="J76" s="433"/>
      <c r="K76" s="433"/>
      <c r="L76" s="433"/>
      <c r="M76" s="433"/>
      <c r="N76" s="434"/>
      <c r="O76" s="589"/>
      <c r="P76" s="590"/>
      <c r="Q76" s="591"/>
      <c r="R76" s="297"/>
      <c r="S76" s="295"/>
      <c r="T76" s="296"/>
      <c r="U76" s="296"/>
      <c r="V76" s="296"/>
      <c r="W76" s="297"/>
      <c r="X76" s="428"/>
      <c r="Y76" s="428"/>
      <c r="Z76" s="357"/>
      <c r="AA76" s="358"/>
      <c r="AB76" s="359"/>
      <c r="AC76" s="266"/>
      <c r="AD76" s="267"/>
      <c r="AE76" s="268"/>
    </row>
    <row r="77" spans="1:31" ht="15" customHeight="1">
      <c r="A77" s="136" t="s">
        <v>47</v>
      </c>
      <c r="B77" s="12"/>
      <c r="C77" s="6"/>
      <c r="D77" s="6"/>
      <c r="E77" s="13"/>
      <c r="F77" s="13"/>
      <c r="G77" s="13"/>
      <c r="H77" s="13"/>
      <c r="I77" s="13"/>
      <c r="J77" s="13"/>
      <c r="K77" s="13"/>
      <c r="L77" s="13"/>
      <c r="M77" s="13"/>
      <c r="N77" s="13"/>
      <c r="O77" s="2"/>
      <c r="P77" s="2"/>
      <c r="Q77" s="2"/>
      <c r="R77" s="14"/>
      <c r="S77" s="15"/>
      <c r="T77" s="15"/>
      <c r="U77" s="17"/>
      <c r="V77" s="15"/>
      <c r="W77" s="15"/>
      <c r="X77" s="17"/>
      <c r="Y77" s="129"/>
      <c r="Z77" s="130"/>
      <c r="AA77" s="130"/>
      <c r="AB77" s="130"/>
      <c r="AC77" s="131"/>
      <c r="AD77" s="131"/>
      <c r="AE77" s="18"/>
    </row>
    <row r="78" spans="1:31" ht="15" customHeight="1">
      <c r="A78" s="137" t="s">
        <v>34</v>
      </c>
      <c r="B78" s="12"/>
      <c r="C78" s="6"/>
      <c r="D78" s="6"/>
      <c r="E78" s="13"/>
      <c r="F78" s="13"/>
      <c r="G78" s="13"/>
      <c r="H78" s="13"/>
      <c r="I78" s="13"/>
      <c r="J78" s="13"/>
      <c r="K78" s="13"/>
      <c r="L78" s="13"/>
      <c r="M78" s="13"/>
      <c r="N78" s="13"/>
      <c r="O78" s="2"/>
      <c r="P78" s="2"/>
      <c r="Q78" s="2"/>
      <c r="R78" s="14"/>
      <c r="S78" s="15"/>
      <c r="T78" s="15"/>
      <c r="U78" s="132"/>
      <c r="V78" s="15"/>
      <c r="W78" s="15"/>
      <c r="X78" s="17"/>
      <c r="Y78" s="129"/>
      <c r="Z78" s="133"/>
      <c r="AA78" s="130"/>
      <c r="AB78" s="130"/>
      <c r="AC78" s="131"/>
      <c r="AD78" s="131"/>
      <c r="AE78" s="18"/>
    </row>
    <row r="79" spans="1:31" ht="15" customHeight="1">
      <c r="A79" s="137" t="s">
        <v>35</v>
      </c>
      <c r="B79" s="12"/>
      <c r="C79" s="6"/>
      <c r="D79" s="6"/>
      <c r="E79" s="13"/>
      <c r="F79" s="13"/>
      <c r="G79" s="13"/>
      <c r="H79" s="13"/>
      <c r="I79" s="13"/>
      <c r="J79" s="13"/>
      <c r="K79" s="13"/>
      <c r="L79" s="13"/>
      <c r="M79" s="13"/>
      <c r="N79" s="13"/>
      <c r="O79" s="2"/>
      <c r="P79" s="2"/>
      <c r="Q79" s="2"/>
      <c r="R79" s="14"/>
      <c r="S79" s="15"/>
      <c r="T79" s="15"/>
      <c r="U79" s="121"/>
      <c r="V79" s="19"/>
      <c r="W79" s="19"/>
      <c r="X79" s="17"/>
      <c r="Y79" s="19"/>
      <c r="Z79" s="19"/>
      <c r="AA79" s="19"/>
      <c r="AB79" s="19"/>
      <c r="AC79" s="19"/>
      <c r="AD79" s="19"/>
      <c r="AE79" s="18"/>
    </row>
    <row r="80" spans="1:31" ht="15" customHeight="1">
      <c r="A80" s="16" t="s">
        <v>46</v>
      </c>
      <c r="B80" s="20"/>
      <c r="C80" s="6"/>
      <c r="D80" s="6"/>
      <c r="E80" s="13"/>
      <c r="F80" s="13"/>
      <c r="G80" s="13"/>
      <c r="H80" s="13"/>
      <c r="I80" s="13"/>
      <c r="J80" s="13"/>
      <c r="K80" s="2"/>
      <c r="L80" s="21"/>
      <c r="M80" s="13"/>
      <c r="N80" s="13"/>
      <c r="O80" s="2"/>
      <c r="P80" s="2"/>
      <c r="Q80" s="2"/>
      <c r="R80" s="14"/>
      <c r="S80" s="15"/>
      <c r="T80" s="15"/>
      <c r="U80" s="17"/>
      <c r="V80" s="15"/>
      <c r="W80" s="19"/>
      <c r="X80" s="19"/>
      <c r="Y80" s="19"/>
      <c r="Z80" s="19"/>
      <c r="AA80" s="19"/>
      <c r="AB80" s="19"/>
      <c r="AC80" s="19"/>
      <c r="AD80" s="19"/>
      <c r="AE80" s="18"/>
    </row>
    <row r="81" spans="1:31" ht="15" customHeight="1">
      <c r="A81" s="22"/>
      <c r="B81" s="27" t="s">
        <v>133</v>
      </c>
      <c r="C81" s="8"/>
      <c r="D81" s="23"/>
      <c r="E81" s="23"/>
      <c r="F81" s="24"/>
      <c r="G81" s="111"/>
      <c r="H81" s="111"/>
      <c r="I81" s="111"/>
      <c r="J81" s="24" t="s">
        <v>135</v>
      </c>
      <c r="K81" s="2"/>
      <c r="L81" s="112"/>
      <c r="M81" s="113"/>
      <c r="N81" s="110"/>
      <c r="O81" s="2"/>
      <c r="P81" s="110"/>
      <c r="Q81" s="24" t="s">
        <v>134</v>
      </c>
      <c r="R81" s="15"/>
      <c r="S81" s="15"/>
      <c r="T81" s="15"/>
      <c r="U81" s="15"/>
      <c r="V81" s="26"/>
      <c r="W81" s="19"/>
      <c r="X81" s="19"/>
      <c r="Y81" s="19"/>
      <c r="Z81" s="19"/>
      <c r="AA81" s="27"/>
      <c r="AB81" s="14"/>
      <c r="AC81" s="15"/>
      <c r="AD81" s="15"/>
      <c r="AE81" s="107"/>
    </row>
    <row r="82" spans="1:31" ht="15" customHeight="1">
      <c r="A82" s="126"/>
      <c r="B82" s="109"/>
      <c r="C82" s="27"/>
      <c r="D82" s="6"/>
      <c r="E82" s="13"/>
      <c r="F82" s="13"/>
      <c r="G82" s="13"/>
      <c r="H82" s="21"/>
      <c r="I82" s="21"/>
      <c r="J82" s="128"/>
      <c r="K82" s="13"/>
      <c r="L82" s="13"/>
      <c r="M82" s="13"/>
      <c r="N82" s="13"/>
      <c r="O82" s="2"/>
      <c r="P82" s="27"/>
      <c r="Q82" s="27"/>
      <c r="R82" s="27"/>
      <c r="S82" s="14"/>
      <c r="T82" s="15"/>
      <c r="U82" s="120"/>
      <c r="V82" s="30"/>
      <c r="W82" s="120" t="s">
        <v>149</v>
      </c>
      <c r="X82" s="30"/>
      <c r="Z82" s="30"/>
      <c r="AA82" s="27"/>
      <c r="AB82" s="14"/>
      <c r="AC82" s="15"/>
      <c r="AD82" s="15"/>
      <c r="AE82" s="107"/>
    </row>
    <row r="83" spans="1:31" ht="15" customHeight="1">
      <c r="A83" s="127"/>
      <c r="B83" s="31"/>
      <c r="C83" s="19"/>
      <c r="D83" s="19"/>
      <c r="E83" s="19"/>
      <c r="F83" s="19"/>
      <c r="G83" s="19"/>
      <c r="H83" s="19"/>
      <c r="I83" s="19"/>
      <c r="J83" s="25"/>
      <c r="K83" s="25"/>
      <c r="L83" s="25"/>
      <c r="M83" s="25"/>
      <c r="N83" s="25"/>
      <c r="O83" s="28"/>
      <c r="P83" s="28"/>
      <c r="Q83" s="28"/>
      <c r="R83" s="29"/>
      <c r="S83" s="15"/>
      <c r="T83" s="15"/>
      <c r="U83" s="120"/>
      <c r="V83" s="19"/>
      <c r="W83" s="120" t="s">
        <v>150</v>
      </c>
      <c r="X83" s="19"/>
      <c r="Z83" s="19"/>
      <c r="AA83" s="19"/>
      <c r="AB83" s="19"/>
      <c r="AC83" s="19"/>
      <c r="AD83" s="19"/>
      <c r="AE83" s="32"/>
    </row>
    <row r="84" spans="1:31" ht="15" customHeight="1">
      <c r="A84" s="16" t="s">
        <v>174</v>
      </c>
      <c r="B84" s="31"/>
      <c r="C84" s="19"/>
      <c r="D84" s="19"/>
      <c r="E84" s="19"/>
      <c r="F84" s="19"/>
      <c r="G84" s="19"/>
      <c r="H84" s="19"/>
      <c r="I84" s="19"/>
      <c r="J84" s="25"/>
      <c r="K84" s="25"/>
      <c r="L84" s="25"/>
      <c r="M84" s="25"/>
      <c r="N84" s="25"/>
      <c r="O84" s="28"/>
      <c r="P84" s="28"/>
      <c r="Q84" s="28"/>
      <c r="R84" s="29"/>
      <c r="S84" s="15"/>
      <c r="T84" s="15"/>
      <c r="U84" s="17"/>
      <c r="V84" s="15"/>
      <c r="W84" s="116"/>
      <c r="X84" s="19"/>
      <c r="Y84" s="19"/>
      <c r="Z84" s="19"/>
      <c r="AA84" s="19"/>
      <c r="AB84" s="19"/>
      <c r="AC84" s="19"/>
      <c r="AD84" s="19"/>
      <c r="AE84" s="32"/>
    </row>
    <row r="85" spans="1:31" ht="15" customHeight="1">
      <c r="A85" s="138" t="s">
        <v>355</v>
      </c>
      <c r="B85" s="33"/>
      <c r="C85" s="7"/>
      <c r="D85" s="7"/>
      <c r="E85" s="7"/>
      <c r="F85" s="7"/>
      <c r="G85" s="7"/>
      <c r="H85" s="7"/>
      <c r="I85" s="7"/>
      <c r="J85" s="10"/>
      <c r="K85" s="10"/>
      <c r="L85" s="10"/>
      <c r="M85" s="10"/>
      <c r="N85" s="10"/>
      <c r="O85" s="9"/>
      <c r="P85" s="9"/>
      <c r="Q85" s="9"/>
      <c r="R85" s="34"/>
      <c r="S85" s="35"/>
      <c r="T85" s="35"/>
      <c r="U85" s="36"/>
      <c r="V85" s="35"/>
      <c r="W85" s="7"/>
      <c r="X85" s="7"/>
      <c r="Y85" s="7"/>
      <c r="Z85" s="7"/>
      <c r="AA85" s="7"/>
      <c r="AB85" s="7"/>
      <c r="AC85" s="7"/>
      <c r="AD85" s="7"/>
      <c r="AE85" s="1" t="s">
        <v>20</v>
      </c>
    </row>
  </sheetData>
  <mergeCells count="231">
    <mergeCell ref="AE75:AE76"/>
    <mergeCell ref="AE71:AE72"/>
    <mergeCell ref="Z73:AB74"/>
    <mergeCell ref="AC73:AD74"/>
    <mergeCell ref="AE73:AE74"/>
    <mergeCell ref="A71:A76"/>
    <mergeCell ref="B71:B74"/>
    <mergeCell ref="C71:D76"/>
    <mergeCell ref="E71:N73"/>
    <mergeCell ref="O71:Q76"/>
    <mergeCell ref="R71:W74"/>
    <mergeCell ref="X71:Y76"/>
    <mergeCell ref="Z71:AB72"/>
    <mergeCell ref="AC71:AD72"/>
    <mergeCell ref="E74:N76"/>
    <mergeCell ref="B75:B76"/>
    <mergeCell ref="R75:R76"/>
    <mergeCell ref="S75:W76"/>
    <mergeCell ref="Z75:AB76"/>
    <mergeCell ref="AC75:AD76"/>
    <mergeCell ref="AE63:AE64"/>
    <mergeCell ref="AE59:AE60"/>
    <mergeCell ref="Z61:AB62"/>
    <mergeCell ref="AC61:AD62"/>
    <mergeCell ref="AE61:AE62"/>
    <mergeCell ref="AC65:AD66"/>
    <mergeCell ref="AE65:AE66"/>
    <mergeCell ref="A65:A70"/>
    <mergeCell ref="B65:B68"/>
    <mergeCell ref="C65:D70"/>
    <mergeCell ref="E65:N70"/>
    <mergeCell ref="O65:Q70"/>
    <mergeCell ref="R65:W68"/>
    <mergeCell ref="X65:Y70"/>
    <mergeCell ref="Z65:AB66"/>
    <mergeCell ref="B69:B70"/>
    <mergeCell ref="R69:R70"/>
    <mergeCell ref="S69:W70"/>
    <mergeCell ref="Z69:AB70"/>
    <mergeCell ref="AC69:AD70"/>
    <mergeCell ref="AE69:AE70"/>
    <mergeCell ref="Z67:AB68"/>
    <mergeCell ref="AC67:AD68"/>
    <mergeCell ref="AE67:AE68"/>
    <mergeCell ref="A59:A64"/>
    <mergeCell ref="B59:B62"/>
    <mergeCell ref="C59:D64"/>
    <mergeCell ref="E59:N64"/>
    <mergeCell ref="O59:Q64"/>
    <mergeCell ref="R59:W62"/>
    <mergeCell ref="X59:Y64"/>
    <mergeCell ref="Z59:AB60"/>
    <mergeCell ref="AC59:AD60"/>
    <mergeCell ref="B63:B64"/>
    <mergeCell ref="R63:R64"/>
    <mergeCell ref="S63:W64"/>
    <mergeCell ref="Z63:AB64"/>
    <mergeCell ref="AC63:AD64"/>
    <mergeCell ref="AE51:AE52"/>
    <mergeCell ref="AE47:AE48"/>
    <mergeCell ref="Z49:AB50"/>
    <mergeCell ref="AC49:AD50"/>
    <mergeCell ref="AE49:AE50"/>
    <mergeCell ref="AC53:AD54"/>
    <mergeCell ref="AE53:AE54"/>
    <mergeCell ref="A53:A58"/>
    <mergeCell ref="B53:B56"/>
    <mergeCell ref="C53:D58"/>
    <mergeCell ref="E53:N58"/>
    <mergeCell ref="O53:Q58"/>
    <mergeCell ref="R53:W56"/>
    <mergeCell ref="X53:Y58"/>
    <mergeCell ref="Z53:AB54"/>
    <mergeCell ref="B57:B58"/>
    <mergeCell ref="R57:R58"/>
    <mergeCell ref="S57:W58"/>
    <mergeCell ref="Z57:AB58"/>
    <mergeCell ref="AC57:AD58"/>
    <mergeCell ref="AE57:AE58"/>
    <mergeCell ref="Z55:AB56"/>
    <mergeCell ref="AC55:AD56"/>
    <mergeCell ref="AE55:AE56"/>
    <mergeCell ref="A47:A52"/>
    <mergeCell ref="B47:B50"/>
    <mergeCell ref="C47:D52"/>
    <mergeCell ref="E47:N52"/>
    <mergeCell ref="O47:Q52"/>
    <mergeCell ref="R47:W50"/>
    <mergeCell ref="X47:Y52"/>
    <mergeCell ref="Z47:AB48"/>
    <mergeCell ref="AC47:AD48"/>
    <mergeCell ref="B51:B52"/>
    <mergeCell ref="R51:R52"/>
    <mergeCell ref="S51:W52"/>
    <mergeCell ref="Z51:AB52"/>
    <mergeCell ref="AC51:AD52"/>
    <mergeCell ref="AE39:AE40"/>
    <mergeCell ref="AE35:AE36"/>
    <mergeCell ref="Z37:AB38"/>
    <mergeCell ref="AC37:AD38"/>
    <mergeCell ref="AE37:AE38"/>
    <mergeCell ref="AC41:AD42"/>
    <mergeCell ref="AE41:AE42"/>
    <mergeCell ref="A41:A46"/>
    <mergeCell ref="B41:B44"/>
    <mergeCell ref="C41:D46"/>
    <mergeCell ref="E41:N46"/>
    <mergeCell ref="O41:Q46"/>
    <mergeCell ref="R41:W44"/>
    <mergeCell ref="X41:Y46"/>
    <mergeCell ref="Z41:AB42"/>
    <mergeCell ref="B45:B46"/>
    <mergeCell ref="R45:R46"/>
    <mergeCell ref="S45:W46"/>
    <mergeCell ref="Z45:AB46"/>
    <mergeCell ref="AC45:AD46"/>
    <mergeCell ref="AE45:AE46"/>
    <mergeCell ref="Z43:AB44"/>
    <mergeCell ref="AC43:AD44"/>
    <mergeCell ref="AE43:AE44"/>
    <mergeCell ref="A35:A40"/>
    <mergeCell ref="B35:B38"/>
    <mergeCell ref="C35:D40"/>
    <mergeCell ref="E35:N40"/>
    <mergeCell ref="O35:Q40"/>
    <mergeCell ref="R35:W38"/>
    <mergeCell ref="X35:Y40"/>
    <mergeCell ref="Z35:AB36"/>
    <mergeCell ref="AC35:AD36"/>
    <mergeCell ref="B39:B40"/>
    <mergeCell ref="R39:R40"/>
    <mergeCell ref="S39:W40"/>
    <mergeCell ref="Z39:AB40"/>
    <mergeCell ref="AC39:AD40"/>
    <mergeCell ref="AC29:AD30"/>
    <mergeCell ref="AE29:AE30"/>
    <mergeCell ref="A29:A34"/>
    <mergeCell ref="B29:B32"/>
    <mergeCell ref="C29:D34"/>
    <mergeCell ref="E29:N34"/>
    <mergeCell ref="O29:Q34"/>
    <mergeCell ref="R29:W32"/>
    <mergeCell ref="X29:Y34"/>
    <mergeCell ref="Z29:AB30"/>
    <mergeCell ref="B33:B34"/>
    <mergeCell ref="R33:R34"/>
    <mergeCell ref="S33:W34"/>
    <mergeCell ref="Z33:AB34"/>
    <mergeCell ref="AC33:AD34"/>
    <mergeCell ref="AE33:AE34"/>
    <mergeCell ref="Z31:AB32"/>
    <mergeCell ref="AC31:AD32"/>
    <mergeCell ref="AE31:AE32"/>
    <mergeCell ref="Z27:AB28"/>
    <mergeCell ref="AC27:AD28"/>
    <mergeCell ref="AE27:AE28"/>
    <mergeCell ref="Z25:AB26"/>
    <mergeCell ref="AC25:AD26"/>
    <mergeCell ref="AE25:AE26"/>
    <mergeCell ref="X23:Y28"/>
    <mergeCell ref="Z23:AB24"/>
    <mergeCell ref="AC23:AD24"/>
    <mergeCell ref="AE23:AE24"/>
    <mergeCell ref="A23:A28"/>
    <mergeCell ref="B23:B26"/>
    <mergeCell ref="C23:D28"/>
    <mergeCell ref="E23:N28"/>
    <mergeCell ref="O23:Q28"/>
    <mergeCell ref="R23:W26"/>
    <mergeCell ref="B21:B22"/>
    <mergeCell ref="R21:R22"/>
    <mergeCell ref="S21:W22"/>
    <mergeCell ref="A17:A22"/>
    <mergeCell ref="B17:B20"/>
    <mergeCell ref="C17:D22"/>
    <mergeCell ref="E17:N22"/>
    <mergeCell ref="O17:Q22"/>
    <mergeCell ref="R17:W20"/>
    <mergeCell ref="B27:B28"/>
    <mergeCell ref="R27:R28"/>
    <mergeCell ref="S27:W28"/>
    <mergeCell ref="X17:Y22"/>
    <mergeCell ref="Z13:AB14"/>
    <mergeCell ref="AC13:AD14"/>
    <mergeCell ref="AE13:AE14"/>
    <mergeCell ref="X11:Y16"/>
    <mergeCell ref="Z11:AB12"/>
    <mergeCell ref="AC11:AD12"/>
    <mergeCell ref="AE11:AE12"/>
    <mergeCell ref="Z15:AB16"/>
    <mergeCell ref="AC15:AD16"/>
    <mergeCell ref="AE15:AE16"/>
    <mergeCell ref="Z21:AB22"/>
    <mergeCell ref="AC21:AD22"/>
    <mergeCell ref="AE21:AE22"/>
    <mergeCell ref="Z19:AB20"/>
    <mergeCell ref="AC19:AD20"/>
    <mergeCell ref="AE19:AE20"/>
    <mergeCell ref="Z17:AB18"/>
    <mergeCell ref="AC17:AD18"/>
    <mergeCell ref="AE17:AE18"/>
    <mergeCell ref="A11:A16"/>
    <mergeCell ref="B11:B14"/>
    <mergeCell ref="C11:D16"/>
    <mergeCell ref="E11:N16"/>
    <mergeCell ref="O11:Q16"/>
    <mergeCell ref="R11:W14"/>
    <mergeCell ref="B15:B16"/>
    <mergeCell ref="R15:R16"/>
    <mergeCell ref="S15:W16"/>
    <mergeCell ref="A10:B10"/>
    <mergeCell ref="C10:D10"/>
    <mergeCell ref="E10:N10"/>
    <mergeCell ref="O10:Q10"/>
    <mergeCell ref="R10:Y10"/>
    <mergeCell ref="Z10:AE10"/>
    <mergeCell ref="Z2:AE6"/>
    <mergeCell ref="G5:N9"/>
    <mergeCell ref="R6:R9"/>
    <mergeCell ref="S6:Y9"/>
    <mergeCell ref="Z7:AE9"/>
    <mergeCell ref="A1:F1"/>
    <mergeCell ref="G1:N1"/>
    <mergeCell ref="O1:Q1"/>
    <mergeCell ref="R1:Y1"/>
    <mergeCell ref="Z1:AE1"/>
    <mergeCell ref="A2:F9"/>
    <mergeCell ref="G2:N4"/>
    <mergeCell ref="O2:Q9"/>
    <mergeCell ref="R2:R5"/>
    <mergeCell ref="S2:Y5"/>
  </mergeCells>
  <phoneticPr fontId="3"/>
  <pageMargins left="0.19685039370078741" right="0" top="0.19685039370078741" bottom="0" header="0" footer="0"/>
  <pageSetup paperSize="9" scale="58" orientation="landscape" r:id="rId1"/>
  <headerFooter>
    <oddFooter>&amp;R&amp;D&amp;T</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EDF20-989A-4F16-92BF-C7F6147A855C}">
  <sheetPr>
    <pageSetUpPr fitToPage="1"/>
  </sheetPr>
  <dimension ref="A1:L184"/>
  <sheetViews>
    <sheetView showWhiteSpace="0" view="pageBreakPreview" zoomScale="85" zoomScaleNormal="80" zoomScaleSheetLayoutView="85" workbookViewId="0">
      <selection activeCell="J185" sqref="J185"/>
    </sheetView>
  </sheetViews>
  <sheetFormatPr defaultColWidth="8.4140625" defaultRowHeight="15"/>
  <cols>
    <col min="1" max="1" width="6.4140625" style="54" customWidth="1"/>
    <col min="2" max="2" width="1.4140625" style="54" customWidth="1"/>
    <col min="3" max="3" width="12.4140625" style="54" customWidth="1"/>
    <col min="4" max="4" width="5.08203125" style="54" customWidth="1"/>
    <col min="5" max="5" width="10.4140625" style="54" customWidth="1"/>
    <col min="6" max="6" width="6.08203125" style="54" customWidth="1"/>
    <col min="7" max="7" width="6.4140625" style="54" customWidth="1"/>
    <col min="8" max="9" width="8.4140625" style="54" customWidth="1"/>
    <col min="10" max="10" width="20.75" style="54" customWidth="1"/>
    <col min="11" max="11" width="4.25" style="101" customWidth="1"/>
    <col min="12" max="12" width="36.4140625" style="54" customWidth="1"/>
    <col min="13" max="13" width="8.4140625" style="54" customWidth="1"/>
    <col min="14" max="16384" width="8.4140625" style="54"/>
  </cols>
  <sheetData>
    <row r="1" spans="1:11" s="37" customFormat="1" ht="15" customHeight="1">
      <c r="A1" s="37" t="s">
        <v>176</v>
      </c>
      <c r="D1" s="38" t="s">
        <v>177</v>
      </c>
      <c r="E1" s="38"/>
      <c r="F1" s="38"/>
      <c r="G1" s="38"/>
      <c r="H1" s="38"/>
      <c r="K1" s="39"/>
    </row>
    <row r="2" spans="1:11" s="37" customFormat="1" ht="15" customHeight="1">
      <c r="A2" s="37" t="s">
        <v>48</v>
      </c>
      <c r="D2" s="37" t="s">
        <v>178</v>
      </c>
      <c r="K2" s="39"/>
    </row>
    <row r="3" spans="1:11" s="37" customFormat="1" ht="15" customHeight="1">
      <c r="A3" s="37" t="s">
        <v>49</v>
      </c>
      <c r="D3" s="37" t="s">
        <v>179</v>
      </c>
      <c r="G3" s="40"/>
      <c r="H3" s="40"/>
      <c r="I3" s="40" t="s">
        <v>180</v>
      </c>
      <c r="J3" s="41" t="s">
        <v>181</v>
      </c>
      <c r="K3" s="39"/>
    </row>
    <row r="4" spans="1:11" s="37" customFormat="1" ht="15" customHeight="1">
      <c r="A4" s="37" t="s">
        <v>50</v>
      </c>
      <c r="D4" s="37" t="s">
        <v>367</v>
      </c>
      <c r="J4" s="42"/>
      <c r="K4" s="39"/>
    </row>
    <row r="5" spans="1:11" s="37" customFormat="1" ht="15" customHeight="1">
      <c r="A5" s="37" t="s">
        <v>51</v>
      </c>
      <c r="D5" s="672" t="s">
        <v>182</v>
      </c>
      <c r="E5" s="673"/>
      <c r="F5" s="674" t="s">
        <v>183</v>
      </c>
      <c r="G5" s="673"/>
      <c r="H5" s="673"/>
      <c r="I5" s="117" t="s">
        <v>184</v>
      </c>
      <c r="J5" s="675" t="s">
        <v>185</v>
      </c>
      <c r="K5" s="673"/>
    </row>
    <row r="6" spans="1:11" s="37" customFormat="1" ht="15" customHeight="1">
      <c r="A6" s="37" t="s">
        <v>52</v>
      </c>
      <c r="D6" s="39" t="s">
        <v>186</v>
      </c>
      <c r="E6" s="43">
        <v>46188</v>
      </c>
      <c r="F6" s="44" t="str">
        <f>TEXT(E6,"ddd")</f>
        <v>Mon</v>
      </c>
      <c r="G6" s="45">
        <v>0.30902777777777779</v>
      </c>
      <c r="H6" s="46" t="s">
        <v>187</v>
      </c>
      <c r="I6" s="46" t="s">
        <v>188</v>
      </c>
      <c r="J6" s="47" t="s">
        <v>189</v>
      </c>
      <c r="K6" s="39"/>
    </row>
    <row r="7" spans="1:11" s="37" customFormat="1" ht="15" customHeight="1">
      <c r="D7" s="39" t="s">
        <v>62</v>
      </c>
      <c r="E7" s="43">
        <v>46198</v>
      </c>
      <c r="F7" s="44" t="str">
        <f>TEXT(E7,"ddd")</f>
        <v>Thu</v>
      </c>
      <c r="G7" s="45">
        <v>0.46875</v>
      </c>
      <c r="H7" s="46" t="s">
        <v>190</v>
      </c>
      <c r="I7" s="46" t="s">
        <v>188</v>
      </c>
      <c r="J7" s="47" t="s">
        <v>189</v>
      </c>
      <c r="K7" s="39"/>
    </row>
    <row r="8" spans="1:11" s="37" customFormat="1" ht="15" customHeight="1">
      <c r="A8" s="37" t="s">
        <v>191</v>
      </c>
      <c r="D8" s="37" t="s">
        <v>192</v>
      </c>
      <c r="K8" s="39"/>
    </row>
    <row r="9" spans="1:11" s="37" customFormat="1" ht="7.25" customHeight="1">
      <c r="K9" s="39"/>
    </row>
    <row r="10" spans="1:11" s="37" customFormat="1" ht="15" customHeight="1">
      <c r="A10" s="676" t="s">
        <v>193</v>
      </c>
      <c r="B10" s="611"/>
      <c r="C10" s="611"/>
      <c r="D10" s="611"/>
      <c r="E10" s="611"/>
      <c r="F10" s="611"/>
      <c r="G10" s="611"/>
      <c r="H10" s="611"/>
      <c r="I10" s="611"/>
      <c r="J10" s="611"/>
      <c r="K10" s="611"/>
    </row>
    <row r="11" spans="1:11" s="37" customFormat="1" ht="15" customHeight="1">
      <c r="A11" s="48">
        <v>1</v>
      </c>
      <c r="B11" s="677">
        <f>E6</f>
        <v>46188</v>
      </c>
      <c r="C11" s="603"/>
      <c r="D11" s="678" t="s">
        <v>194</v>
      </c>
      <c r="E11" s="602"/>
      <c r="F11" s="602"/>
      <c r="G11" s="602"/>
      <c r="H11" s="602"/>
      <c r="I11" s="602"/>
      <c r="J11" s="603"/>
      <c r="K11" s="49"/>
    </row>
    <row r="12" spans="1:11" ht="15" customHeight="1">
      <c r="A12" s="601">
        <v>0.30902777777777779</v>
      </c>
      <c r="B12" s="602"/>
      <c r="C12" s="603"/>
      <c r="D12" s="670" t="s">
        <v>195</v>
      </c>
      <c r="E12" s="602"/>
      <c r="F12" s="602"/>
      <c r="G12" s="602"/>
      <c r="H12" s="602"/>
      <c r="I12" s="602"/>
      <c r="J12" s="603"/>
      <c r="K12" s="53" t="s">
        <v>196</v>
      </c>
    </row>
    <row r="13" spans="1:11" ht="15" customHeight="1">
      <c r="A13" s="601">
        <v>0.39583333333333331</v>
      </c>
      <c r="B13" s="602"/>
      <c r="C13" s="603"/>
      <c r="D13" s="670" t="s">
        <v>197</v>
      </c>
      <c r="E13" s="602"/>
      <c r="F13" s="602"/>
      <c r="G13" s="602"/>
      <c r="H13" s="602"/>
      <c r="I13" s="602"/>
      <c r="J13" s="603"/>
      <c r="K13" s="53"/>
    </row>
    <row r="14" spans="1:11" s="56" customFormat="1" ht="15" customHeight="1">
      <c r="A14" s="655" t="s">
        <v>60</v>
      </c>
      <c r="B14" s="606"/>
      <c r="C14" s="607"/>
      <c r="D14" s="671" t="s">
        <v>198</v>
      </c>
      <c r="E14" s="606"/>
      <c r="F14" s="606"/>
      <c r="G14" s="606"/>
      <c r="H14" s="606"/>
      <c r="I14" s="606"/>
      <c r="J14" s="607"/>
      <c r="K14" s="55" t="s">
        <v>199</v>
      </c>
    </row>
    <row r="15" spans="1:11" s="56" customFormat="1" ht="15" customHeight="1">
      <c r="A15" s="658"/>
      <c r="B15" s="611"/>
      <c r="C15" s="624"/>
      <c r="D15" s="610" t="s">
        <v>200</v>
      </c>
      <c r="E15" s="611"/>
      <c r="F15" s="611"/>
      <c r="G15" s="611"/>
      <c r="H15" s="611"/>
      <c r="I15" s="611"/>
      <c r="J15" s="57" t="s">
        <v>201</v>
      </c>
      <c r="K15" s="58"/>
    </row>
    <row r="16" spans="1:11" s="56" customFormat="1" ht="15" customHeight="1">
      <c r="A16" s="612">
        <v>0.52083333333333337</v>
      </c>
      <c r="B16" s="602"/>
      <c r="C16" s="603"/>
      <c r="D16" s="613" t="s">
        <v>82</v>
      </c>
      <c r="E16" s="602"/>
      <c r="F16" s="602"/>
      <c r="G16" s="602"/>
      <c r="H16" s="602"/>
      <c r="I16" s="602"/>
      <c r="J16" s="603"/>
      <c r="K16" s="59"/>
    </row>
    <row r="17" spans="1:12" s="56" customFormat="1" ht="15" customHeight="1">
      <c r="A17" s="651" t="s">
        <v>202</v>
      </c>
      <c r="B17" s="606"/>
      <c r="C17" s="607"/>
      <c r="D17" s="604" t="s">
        <v>83</v>
      </c>
      <c r="E17" s="602"/>
      <c r="F17" s="602"/>
      <c r="G17" s="602"/>
      <c r="H17" s="602"/>
      <c r="I17" s="602"/>
      <c r="J17" s="603"/>
      <c r="K17" s="55"/>
      <c r="L17" s="60"/>
    </row>
    <row r="18" spans="1:12" s="56" customFormat="1" ht="15" customHeight="1">
      <c r="A18" s="655">
        <v>0.64583333333333337</v>
      </c>
      <c r="B18" s="606"/>
      <c r="C18" s="607"/>
      <c r="D18" s="664" t="s">
        <v>203</v>
      </c>
      <c r="E18" s="606"/>
      <c r="F18" s="606"/>
      <c r="G18" s="606"/>
      <c r="H18" s="606"/>
      <c r="I18" s="606"/>
      <c r="J18" s="607"/>
      <c r="K18" s="55"/>
    </row>
    <row r="19" spans="1:12" s="56" customFormat="1" ht="15" customHeight="1">
      <c r="A19" s="665"/>
      <c r="B19" s="666"/>
      <c r="C19" s="667"/>
      <c r="D19" s="668" t="s">
        <v>204</v>
      </c>
      <c r="E19" s="666"/>
      <c r="F19" s="666"/>
      <c r="G19" s="666"/>
      <c r="H19" s="666"/>
      <c r="I19" s="666"/>
      <c r="J19" s="667"/>
      <c r="K19" s="61"/>
    </row>
    <row r="20" spans="1:12" s="56" customFormat="1" ht="15" customHeight="1">
      <c r="A20" s="656"/>
      <c r="B20" s="611"/>
      <c r="C20" s="624"/>
      <c r="D20" s="669" t="s">
        <v>205</v>
      </c>
      <c r="E20" s="611"/>
      <c r="F20" s="611"/>
      <c r="G20" s="611"/>
      <c r="H20" s="611"/>
      <c r="I20" s="611"/>
      <c r="J20" s="624"/>
      <c r="K20" s="58"/>
    </row>
    <row r="21" spans="1:12" s="56" customFormat="1" ht="15" customHeight="1">
      <c r="A21" s="612">
        <v>0.66666666666666663</v>
      </c>
      <c r="B21" s="602"/>
      <c r="C21" s="603"/>
      <c r="D21" s="661" t="s">
        <v>84</v>
      </c>
      <c r="E21" s="606"/>
      <c r="F21" s="606"/>
      <c r="G21" s="606"/>
      <c r="H21" s="606"/>
      <c r="I21" s="606"/>
      <c r="J21" s="607"/>
      <c r="K21" s="59"/>
    </row>
    <row r="22" spans="1:12" s="56" customFormat="1" ht="15" customHeight="1">
      <c r="A22" s="612">
        <v>0.70833333333333337</v>
      </c>
      <c r="B22" s="602"/>
      <c r="C22" s="603"/>
      <c r="D22" s="662" t="s">
        <v>206</v>
      </c>
      <c r="E22" s="602"/>
      <c r="F22" s="602"/>
      <c r="G22" s="602"/>
      <c r="H22" s="602"/>
      <c r="I22" s="602"/>
      <c r="J22" s="603"/>
      <c r="K22" s="59"/>
    </row>
    <row r="23" spans="1:12" ht="15" customHeight="1">
      <c r="A23" s="605" t="s">
        <v>93</v>
      </c>
      <c r="B23" s="606"/>
      <c r="C23" s="607"/>
      <c r="D23" s="663" t="s">
        <v>207</v>
      </c>
      <c r="E23" s="606"/>
      <c r="F23" s="606"/>
      <c r="G23" s="606"/>
      <c r="H23" s="606"/>
      <c r="I23" s="606"/>
      <c r="J23" s="607"/>
      <c r="K23" s="62" t="s">
        <v>208</v>
      </c>
    </row>
    <row r="24" spans="1:12" s="71" customFormat="1" ht="15" customHeight="1">
      <c r="A24" s="63"/>
      <c r="B24" s="64"/>
      <c r="C24" s="65"/>
      <c r="D24" s="66" t="s">
        <v>209</v>
      </c>
      <c r="E24" s="67"/>
      <c r="F24" s="67"/>
      <c r="G24" s="67"/>
      <c r="H24" s="67"/>
      <c r="I24" s="68"/>
      <c r="J24" s="69" t="s">
        <v>210</v>
      </c>
      <c r="K24" s="70"/>
    </row>
    <row r="25" spans="1:12" ht="18.75" customHeight="1">
      <c r="A25" s="601">
        <v>0.85416666666666663</v>
      </c>
      <c r="B25" s="602"/>
      <c r="C25" s="603"/>
      <c r="D25" s="650" t="s">
        <v>211</v>
      </c>
      <c r="E25" s="602"/>
      <c r="F25" s="602"/>
      <c r="G25" s="602"/>
      <c r="H25" s="602"/>
      <c r="I25" s="653" t="s">
        <v>212</v>
      </c>
      <c r="J25" s="603"/>
      <c r="K25" s="53"/>
    </row>
    <row r="26" spans="1:12" s="56" customFormat="1" ht="16.25" customHeight="1">
      <c r="A26" s="612"/>
      <c r="B26" s="602"/>
      <c r="C26" s="603"/>
      <c r="D26" s="654" t="s">
        <v>213</v>
      </c>
      <c r="E26" s="602"/>
      <c r="F26" s="602"/>
      <c r="G26" s="602"/>
      <c r="H26" s="602"/>
      <c r="I26" s="602"/>
      <c r="J26" s="108" t="s">
        <v>214</v>
      </c>
      <c r="K26" s="59"/>
    </row>
    <row r="27" spans="1:12" ht="15" customHeight="1">
      <c r="A27" s="73">
        <f>A11+1</f>
        <v>2</v>
      </c>
      <c r="B27" s="614">
        <f>B11+1</f>
        <v>46189</v>
      </c>
      <c r="C27" s="603"/>
      <c r="D27" s="615" t="s">
        <v>215</v>
      </c>
      <c r="E27" s="602"/>
      <c r="F27" s="602"/>
      <c r="G27" s="602"/>
      <c r="H27" s="602"/>
      <c r="I27" s="602"/>
      <c r="J27" s="603"/>
      <c r="K27" s="74"/>
    </row>
    <row r="28" spans="1:12" s="56" customFormat="1" ht="15" customHeight="1">
      <c r="A28" s="612" t="s">
        <v>216</v>
      </c>
      <c r="B28" s="602"/>
      <c r="C28" s="603"/>
      <c r="D28" s="604" t="s">
        <v>217</v>
      </c>
      <c r="E28" s="602"/>
      <c r="F28" s="602"/>
      <c r="G28" s="602"/>
      <c r="H28" s="602"/>
      <c r="I28" s="602"/>
      <c r="J28" s="603"/>
      <c r="K28" s="59" t="s">
        <v>218</v>
      </c>
    </row>
    <row r="29" spans="1:12" s="56" customFormat="1" ht="15" customHeight="1">
      <c r="A29" s="612">
        <v>0.375</v>
      </c>
      <c r="B29" s="602"/>
      <c r="C29" s="603"/>
      <c r="D29" s="613" t="s">
        <v>219</v>
      </c>
      <c r="E29" s="602"/>
      <c r="F29" s="602"/>
      <c r="G29" s="602"/>
      <c r="H29" s="602"/>
      <c r="I29" s="602"/>
      <c r="J29" s="603"/>
      <c r="K29" s="59"/>
    </row>
    <row r="30" spans="1:12" s="56" customFormat="1" ht="15" customHeight="1">
      <c r="A30" s="660" t="s">
        <v>220</v>
      </c>
      <c r="B30" s="602"/>
      <c r="C30" s="603"/>
      <c r="D30" s="604" t="s">
        <v>221</v>
      </c>
      <c r="E30" s="602"/>
      <c r="F30" s="602"/>
      <c r="G30" s="602"/>
      <c r="H30" s="602"/>
      <c r="I30" s="602"/>
      <c r="J30" s="603"/>
      <c r="K30" s="59"/>
    </row>
    <row r="31" spans="1:12" ht="15" customHeight="1">
      <c r="A31" s="601">
        <v>0.47916666666666669</v>
      </c>
      <c r="B31" s="602"/>
      <c r="C31" s="603"/>
      <c r="D31" s="75" t="s">
        <v>222</v>
      </c>
      <c r="E31" s="75"/>
      <c r="F31" s="75"/>
      <c r="G31" s="75"/>
      <c r="H31" s="75"/>
      <c r="I31" s="75"/>
      <c r="J31" s="75"/>
      <c r="K31" s="53"/>
    </row>
    <row r="32" spans="1:12" ht="15" customHeight="1">
      <c r="A32" s="621" t="s">
        <v>223</v>
      </c>
      <c r="B32" s="602"/>
      <c r="C32" s="603"/>
      <c r="D32" s="618" t="s">
        <v>224</v>
      </c>
      <c r="E32" s="602"/>
      <c r="F32" s="602"/>
      <c r="G32" s="602"/>
      <c r="H32" s="602"/>
      <c r="I32" s="602"/>
      <c r="J32" s="603"/>
      <c r="K32" s="53" t="s">
        <v>199</v>
      </c>
      <c r="L32" s="78"/>
    </row>
    <row r="33" spans="1:12" ht="15" customHeight="1">
      <c r="A33" s="621"/>
      <c r="B33" s="602"/>
      <c r="C33" s="603"/>
      <c r="D33" s="79" t="s">
        <v>53</v>
      </c>
      <c r="E33" s="76"/>
      <c r="F33" s="76"/>
      <c r="G33" s="76"/>
      <c r="H33" s="76"/>
      <c r="I33" s="76"/>
      <c r="J33" s="77" t="s">
        <v>225</v>
      </c>
      <c r="K33" s="53"/>
    </row>
    <row r="34" spans="1:12" s="56" customFormat="1" ht="15" customHeight="1">
      <c r="A34" s="655" t="s">
        <v>226</v>
      </c>
      <c r="B34" s="606"/>
      <c r="C34" s="607"/>
      <c r="D34" s="659" t="s">
        <v>227</v>
      </c>
      <c r="E34" s="606"/>
      <c r="F34" s="606"/>
      <c r="G34" s="606"/>
      <c r="H34" s="606"/>
      <c r="I34" s="606"/>
      <c r="J34" s="607"/>
      <c r="K34" s="55"/>
    </row>
    <row r="35" spans="1:12" s="56" customFormat="1" ht="15" customHeight="1">
      <c r="A35" s="655">
        <v>0.64583333333333337</v>
      </c>
      <c r="B35" s="606"/>
      <c r="C35" s="607"/>
      <c r="D35" s="652" t="s">
        <v>228</v>
      </c>
      <c r="E35" s="606"/>
      <c r="F35" s="606"/>
      <c r="G35" s="606"/>
      <c r="H35" s="606"/>
      <c r="I35" s="80"/>
      <c r="J35" s="81"/>
      <c r="K35" s="55"/>
    </row>
    <row r="36" spans="1:12" s="56" customFormat="1" ht="15" customHeight="1">
      <c r="A36" s="658" t="s">
        <v>229</v>
      </c>
      <c r="B36" s="611"/>
      <c r="C36" s="624"/>
      <c r="D36" s="610" t="s">
        <v>230</v>
      </c>
      <c r="E36" s="611"/>
      <c r="F36" s="611"/>
      <c r="G36" s="611"/>
      <c r="H36" s="611"/>
      <c r="I36" s="611"/>
      <c r="J36" s="57"/>
      <c r="K36" s="58"/>
    </row>
    <row r="37" spans="1:12" s="56" customFormat="1" ht="15" customHeight="1">
      <c r="A37" s="601" t="s">
        <v>231</v>
      </c>
      <c r="B37" s="602"/>
      <c r="C37" s="603"/>
      <c r="D37" s="613" t="s">
        <v>368</v>
      </c>
      <c r="E37" s="602"/>
      <c r="F37" s="602"/>
      <c r="G37" s="602"/>
      <c r="H37" s="602"/>
      <c r="I37" s="602"/>
      <c r="J37" s="603"/>
      <c r="K37" s="59"/>
    </row>
    <row r="38" spans="1:12" s="56" customFormat="1" ht="15" customHeight="1">
      <c r="A38" s="655">
        <v>0.71527777777777779</v>
      </c>
      <c r="B38" s="606"/>
      <c r="C38" s="607"/>
      <c r="D38" s="657" t="s">
        <v>85</v>
      </c>
      <c r="E38" s="602"/>
      <c r="F38" s="602"/>
      <c r="G38" s="602"/>
      <c r="H38" s="602"/>
      <c r="I38" s="602"/>
      <c r="J38" s="603"/>
      <c r="K38" s="55"/>
      <c r="L38" s="78"/>
    </row>
    <row r="39" spans="1:12" s="56" customFormat="1" ht="15" customHeight="1">
      <c r="A39" s="655" t="s">
        <v>232</v>
      </c>
      <c r="B39" s="606"/>
      <c r="C39" s="607"/>
      <c r="D39" s="604" t="s">
        <v>233</v>
      </c>
      <c r="E39" s="602"/>
      <c r="F39" s="602"/>
      <c r="G39" s="602"/>
      <c r="H39" s="602"/>
      <c r="I39" s="602"/>
      <c r="J39" s="603"/>
      <c r="K39" s="55"/>
    </row>
    <row r="40" spans="1:12" s="56" customFormat="1" ht="15" customHeight="1">
      <c r="A40" s="655">
        <v>0.80208333333333337</v>
      </c>
      <c r="B40" s="606"/>
      <c r="C40" s="607"/>
      <c r="D40" s="56" t="s">
        <v>234</v>
      </c>
      <c r="K40" s="55"/>
      <c r="L40" s="105"/>
    </row>
    <row r="41" spans="1:12" s="56" customFormat="1" ht="15" customHeight="1">
      <c r="A41" s="612" t="s">
        <v>235</v>
      </c>
      <c r="B41" s="602"/>
      <c r="C41" s="603"/>
      <c r="D41" s="613" t="s">
        <v>207</v>
      </c>
      <c r="E41" s="602"/>
      <c r="F41" s="602"/>
      <c r="G41" s="602"/>
      <c r="H41" s="602"/>
      <c r="I41" s="602"/>
      <c r="J41" s="603"/>
      <c r="K41" s="59" t="s">
        <v>208</v>
      </c>
    </row>
    <row r="42" spans="1:12" s="56" customFormat="1" ht="15" customHeight="1">
      <c r="A42" s="655"/>
      <c r="B42" s="606"/>
      <c r="C42" s="607"/>
      <c r="D42" s="652" t="s">
        <v>53</v>
      </c>
      <c r="E42" s="606"/>
      <c r="F42" s="606"/>
      <c r="G42" s="606"/>
      <c r="H42" s="606"/>
      <c r="I42" s="80"/>
      <c r="J42" s="81" t="s">
        <v>225</v>
      </c>
      <c r="K42" s="62"/>
    </row>
    <row r="43" spans="1:12" s="56" customFormat="1" ht="15" customHeight="1">
      <c r="A43" s="656">
        <v>0.84375</v>
      </c>
      <c r="B43" s="611"/>
      <c r="C43" s="624"/>
      <c r="D43" s="610" t="s">
        <v>236</v>
      </c>
      <c r="E43" s="611"/>
      <c r="F43" s="611"/>
      <c r="G43" s="611"/>
      <c r="H43" s="611"/>
      <c r="I43" s="611"/>
      <c r="J43" s="57"/>
      <c r="K43" s="58"/>
    </row>
    <row r="44" spans="1:12" s="56" customFormat="1" ht="15" customHeight="1">
      <c r="A44" s="612">
        <v>0.86458333333333337</v>
      </c>
      <c r="B44" s="602"/>
      <c r="C44" s="603"/>
      <c r="D44" s="613" t="s">
        <v>211</v>
      </c>
      <c r="E44" s="602"/>
      <c r="F44" s="602"/>
      <c r="G44" s="602"/>
      <c r="H44" s="602"/>
      <c r="I44" s="602"/>
      <c r="J44" s="603"/>
      <c r="K44" s="59"/>
    </row>
    <row r="45" spans="1:12" s="56" customFormat="1" ht="15" customHeight="1">
      <c r="A45" s="612"/>
      <c r="B45" s="602"/>
      <c r="C45" s="603"/>
      <c r="D45" s="650"/>
      <c r="E45" s="602"/>
      <c r="F45" s="602"/>
      <c r="G45" s="602"/>
      <c r="H45" s="602"/>
      <c r="I45" s="653" t="s">
        <v>237</v>
      </c>
      <c r="J45" s="603"/>
      <c r="K45" s="59"/>
    </row>
    <row r="46" spans="1:12" ht="15" customHeight="1">
      <c r="A46" s="612"/>
      <c r="B46" s="602"/>
      <c r="C46" s="603"/>
      <c r="D46" s="654" t="s">
        <v>213</v>
      </c>
      <c r="E46" s="602"/>
      <c r="F46" s="602"/>
      <c r="G46" s="602"/>
      <c r="H46" s="602"/>
      <c r="I46" s="602"/>
      <c r="J46" s="108" t="s">
        <v>214</v>
      </c>
      <c r="K46" s="59"/>
    </row>
    <row r="47" spans="1:12" ht="15" customHeight="1">
      <c r="A47" s="73">
        <f>A27+1</f>
        <v>3</v>
      </c>
      <c r="B47" s="614">
        <f>B27+1</f>
        <v>46190</v>
      </c>
      <c r="C47" s="603"/>
      <c r="D47" s="615" t="s">
        <v>238</v>
      </c>
      <c r="E47" s="602"/>
      <c r="F47" s="602"/>
      <c r="G47" s="602"/>
      <c r="H47" s="602"/>
      <c r="I47" s="602"/>
      <c r="J47" s="603"/>
      <c r="K47" s="74"/>
    </row>
    <row r="48" spans="1:12" ht="15" customHeight="1">
      <c r="A48" s="621"/>
      <c r="B48" s="602"/>
      <c r="C48" s="603"/>
      <c r="D48" s="604" t="s">
        <v>369</v>
      </c>
      <c r="E48" s="602"/>
      <c r="F48" s="602"/>
      <c r="G48" s="602"/>
      <c r="H48" s="602"/>
      <c r="I48" s="602"/>
      <c r="J48" s="603"/>
      <c r="K48" s="53" t="s">
        <v>218</v>
      </c>
    </row>
    <row r="49" spans="1:12" s="56" customFormat="1" ht="15" customHeight="1">
      <c r="A49" s="612">
        <v>0.3125</v>
      </c>
      <c r="B49" s="602"/>
      <c r="C49" s="603"/>
      <c r="D49" s="613" t="s">
        <v>86</v>
      </c>
      <c r="E49" s="602"/>
      <c r="F49" s="602"/>
      <c r="G49" s="602"/>
      <c r="H49" s="602"/>
      <c r="I49" s="602"/>
      <c r="J49" s="603"/>
      <c r="K49" s="59"/>
    </row>
    <row r="50" spans="1:12" s="56" customFormat="1" ht="15" customHeight="1">
      <c r="A50" s="612">
        <v>0.33333333333333331</v>
      </c>
      <c r="B50" s="602"/>
      <c r="C50" s="603"/>
      <c r="D50" s="604" t="s">
        <v>87</v>
      </c>
      <c r="E50" s="602"/>
      <c r="F50" s="602"/>
      <c r="G50" s="602"/>
      <c r="H50" s="602"/>
      <c r="I50" s="602"/>
      <c r="J50" s="603"/>
      <c r="K50" s="59"/>
      <c r="L50" s="78"/>
    </row>
    <row r="51" spans="1:12" s="56" customFormat="1" ht="15" customHeight="1">
      <c r="A51" s="601" t="s">
        <v>239</v>
      </c>
      <c r="B51" s="602"/>
      <c r="C51" s="603"/>
      <c r="D51" s="613" t="s">
        <v>88</v>
      </c>
      <c r="E51" s="602"/>
      <c r="F51" s="602"/>
      <c r="G51" s="602"/>
      <c r="H51" s="602"/>
      <c r="I51" s="602"/>
      <c r="J51" s="603"/>
      <c r="K51" s="59"/>
    </row>
    <row r="52" spans="1:12" s="56" customFormat="1" ht="15" customHeight="1">
      <c r="A52" s="601">
        <v>0.5</v>
      </c>
      <c r="B52" s="602"/>
      <c r="C52" s="603"/>
      <c r="D52" s="650" t="s">
        <v>89</v>
      </c>
      <c r="E52" s="602"/>
      <c r="F52" s="602"/>
      <c r="G52" s="602"/>
      <c r="H52" s="602"/>
      <c r="I52" s="602"/>
      <c r="J52" s="81"/>
      <c r="K52" s="55"/>
    </row>
    <row r="53" spans="1:12" s="56" customFormat="1" ht="15" customHeight="1">
      <c r="A53" s="651" t="s">
        <v>90</v>
      </c>
      <c r="B53" s="606"/>
      <c r="C53" s="607"/>
      <c r="D53" s="652" t="s">
        <v>224</v>
      </c>
      <c r="E53" s="606"/>
      <c r="F53" s="606"/>
      <c r="G53" s="606"/>
      <c r="H53" s="606"/>
      <c r="I53" s="80"/>
      <c r="J53" s="81"/>
      <c r="K53" s="55" t="s">
        <v>199</v>
      </c>
    </row>
    <row r="54" spans="1:12" s="71" customFormat="1" ht="15" customHeight="1">
      <c r="A54" s="633"/>
      <c r="B54" s="611"/>
      <c r="C54" s="624"/>
      <c r="D54" s="66" t="s">
        <v>70</v>
      </c>
      <c r="E54" s="67"/>
      <c r="F54" s="67"/>
      <c r="G54" s="67"/>
      <c r="H54" s="67"/>
      <c r="I54" s="82"/>
      <c r="J54" s="57" t="s">
        <v>71</v>
      </c>
      <c r="K54" s="70"/>
    </row>
    <row r="55" spans="1:12" ht="15" customHeight="1">
      <c r="A55" s="601">
        <v>0.5625</v>
      </c>
      <c r="B55" s="602"/>
      <c r="C55" s="603"/>
      <c r="D55" s="618" t="s">
        <v>240</v>
      </c>
      <c r="E55" s="602"/>
      <c r="F55" s="602"/>
      <c r="G55" s="602"/>
      <c r="H55" s="602"/>
      <c r="I55" s="602"/>
      <c r="J55" s="603"/>
      <c r="K55" s="84"/>
    </row>
    <row r="56" spans="1:12" ht="15" customHeight="1">
      <c r="A56" s="601" t="s">
        <v>241</v>
      </c>
      <c r="B56" s="602"/>
      <c r="C56" s="603"/>
      <c r="D56" s="622" t="s">
        <v>242</v>
      </c>
      <c r="E56" s="602"/>
      <c r="F56" s="602"/>
      <c r="G56" s="602"/>
      <c r="H56" s="602"/>
      <c r="I56" s="602"/>
      <c r="J56" s="603"/>
      <c r="K56" s="53"/>
    </row>
    <row r="57" spans="1:12" s="71" customFormat="1" ht="15" customHeight="1">
      <c r="A57" s="616">
        <v>0.65625</v>
      </c>
      <c r="B57" s="602"/>
      <c r="C57" s="603"/>
      <c r="D57" s="618" t="s">
        <v>243</v>
      </c>
      <c r="E57" s="602"/>
      <c r="F57" s="602"/>
      <c r="G57" s="602"/>
      <c r="H57" s="602"/>
      <c r="I57" s="602"/>
      <c r="J57" s="603"/>
      <c r="K57" s="85"/>
    </row>
    <row r="58" spans="1:12" ht="15" customHeight="1">
      <c r="A58" s="601" t="s">
        <v>244</v>
      </c>
      <c r="B58" s="602"/>
      <c r="C58" s="603"/>
      <c r="D58" s="622" t="s">
        <v>245</v>
      </c>
      <c r="E58" s="602"/>
      <c r="F58" s="602"/>
      <c r="G58" s="602"/>
      <c r="H58" s="602"/>
      <c r="I58" s="602"/>
      <c r="J58" s="603"/>
      <c r="K58" s="53"/>
      <c r="L58" s="86"/>
    </row>
    <row r="59" spans="1:12" s="56" customFormat="1" ht="15" customHeight="1">
      <c r="A59" s="601">
        <v>0.70833333333333337</v>
      </c>
      <c r="B59" s="602"/>
      <c r="C59" s="603"/>
      <c r="D59" s="650" t="s">
        <v>246</v>
      </c>
      <c r="E59" s="602"/>
      <c r="F59" s="602"/>
      <c r="G59" s="602"/>
      <c r="H59" s="602"/>
      <c r="I59" s="602"/>
      <c r="J59" s="81"/>
      <c r="K59" s="55"/>
    </row>
    <row r="60" spans="1:12" ht="15" customHeight="1">
      <c r="A60" s="601" t="s">
        <v>247</v>
      </c>
      <c r="B60" s="602"/>
      <c r="C60" s="603"/>
      <c r="D60" s="622" t="s">
        <v>248</v>
      </c>
      <c r="E60" s="602"/>
      <c r="F60" s="602"/>
      <c r="G60" s="602"/>
      <c r="H60" s="602"/>
      <c r="I60" s="602"/>
      <c r="J60" s="603"/>
      <c r="K60" s="53"/>
    </row>
    <row r="61" spans="1:12" ht="15" customHeight="1">
      <c r="A61" s="619" t="s">
        <v>93</v>
      </c>
      <c r="B61" s="606"/>
      <c r="C61" s="607"/>
      <c r="D61" s="632" t="s">
        <v>207</v>
      </c>
      <c r="E61" s="606"/>
      <c r="F61" s="606"/>
      <c r="G61" s="606"/>
      <c r="H61" s="606"/>
      <c r="I61" s="606"/>
      <c r="J61" s="607"/>
      <c r="K61" s="62" t="s">
        <v>208</v>
      </c>
    </row>
    <row r="62" spans="1:12" s="71" customFormat="1" ht="15" customHeight="1">
      <c r="A62" s="633"/>
      <c r="B62" s="611"/>
      <c r="C62" s="624"/>
      <c r="D62" s="66" t="s">
        <v>70</v>
      </c>
      <c r="E62" s="67"/>
      <c r="F62" s="67"/>
      <c r="G62" s="67"/>
      <c r="H62" s="67"/>
      <c r="I62" s="82"/>
      <c r="J62" s="57" t="s">
        <v>71</v>
      </c>
      <c r="K62" s="70"/>
    </row>
    <row r="63" spans="1:12" s="56" customFormat="1" ht="15" customHeight="1">
      <c r="A63" s="612">
        <v>0.83333333333333337</v>
      </c>
      <c r="B63" s="602"/>
      <c r="C63" s="603"/>
      <c r="D63" s="644" t="s">
        <v>236</v>
      </c>
      <c r="E63" s="602"/>
      <c r="F63" s="602"/>
      <c r="G63" s="602"/>
      <c r="H63" s="602"/>
      <c r="I63" s="602"/>
      <c r="J63" s="603"/>
      <c r="K63" s="59"/>
    </row>
    <row r="64" spans="1:12" s="56" customFormat="1" ht="15" customHeight="1">
      <c r="A64" s="612">
        <v>0.85416666666666663</v>
      </c>
      <c r="B64" s="602"/>
      <c r="C64" s="603"/>
      <c r="D64" s="649" t="s">
        <v>211</v>
      </c>
      <c r="E64" s="602"/>
      <c r="F64" s="602"/>
      <c r="G64" s="602"/>
      <c r="H64" s="602"/>
      <c r="I64" s="648" t="s">
        <v>249</v>
      </c>
      <c r="J64" s="603"/>
      <c r="K64" s="59"/>
    </row>
    <row r="65" spans="1:12" ht="15" customHeight="1">
      <c r="A65" s="601"/>
      <c r="B65" s="602"/>
      <c r="C65" s="603"/>
      <c r="D65" s="79" t="s">
        <v>250</v>
      </c>
      <c r="E65" s="75"/>
      <c r="F65" s="75"/>
      <c r="G65" s="75"/>
      <c r="H65" s="75"/>
      <c r="I65" s="87"/>
      <c r="J65" s="83" t="s">
        <v>251</v>
      </c>
      <c r="K65" s="53"/>
    </row>
    <row r="66" spans="1:12" ht="15" customHeight="1">
      <c r="A66" s="73">
        <f>A47+1</f>
        <v>4</v>
      </c>
      <c r="B66" s="614">
        <f>B47+1</f>
        <v>46191</v>
      </c>
      <c r="C66" s="603"/>
      <c r="D66" s="114" t="s">
        <v>252</v>
      </c>
      <c r="E66" s="114"/>
      <c r="F66" s="114"/>
      <c r="G66" s="114"/>
      <c r="H66" s="114"/>
      <c r="I66" s="114"/>
      <c r="J66" s="114"/>
      <c r="K66" s="115"/>
    </row>
    <row r="67" spans="1:12" ht="15" customHeight="1">
      <c r="A67" s="621" t="s">
        <v>91</v>
      </c>
      <c r="B67" s="602"/>
      <c r="C67" s="603"/>
      <c r="D67" s="604" t="s">
        <v>217</v>
      </c>
      <c r="E67" s="602"/>
      <c r="F67" s="602"/>
      <c r="G67" s="602"/>
      <c r="H67" s="602"/>
      <c r="I67" s="602"/>
      <c r="J67" s="603"/>
      <c r="K67" s="53" t="s">
        <v>218</v>
      </c>
    </row>
    <row r="68" spans="1:12" s="56" customFormat="1" ht="15" customHeight="1">
      <c r="A68" s="612">
        <v>0.36458333333333331</v>
      </c>
      <c r="B68" s="602"/>
      <c r="C68" s="603"/>
      <c r="D68" s="613" t="s">
        <v>253</v>
      </c>
      <c r="E68" s="602"/>
      <c r="F68" s="602"/>
      <c r="G68" s="602"/>
      <c r="H68" s="602"/>
      <c r="I68" s="602"/>
      <c r="J68" s="603"/>
      <c r="K68" s="59"/>
    </row>
    <row r="69" spans="1:12" s="71" customFormat="1" ht="15" customHeight="1">
      <c r="A69" s="616" t="s">
        <v>92</v>
      </c>
      <c r="B69" s="602"/>
      <c r="C69" s="603"/>
      <c r="D69" s="617" t="s">
        <v>370</v>
      </c>
      <c r="E69" s="602"/>
      <c r="F69" s="602"/>
      <c r="G69" s="602"/>
      <c r="H69" s="602"/>
      <c r="I69" s="602"/>
      <c r="J69" s="603"/>
      <c r="K69" s="85" t="s">
        <v>199</v>
      </c>
    </row>
    <row r="70" spans="1:12" ht="15" customHeight="1">
      <c r="A70" s="601">
        <v>0.77083333333333337</v>
      </c>
      <c r="B70" s="602"/>
      <c r="C70" s="603"/>
      <c r="D70" s="618" t="s">
        <v>254</v>
      </c>
      <c r="E70" s="602"/>
      <c r="F70" s="602"/>
      <c r="G70" s="602"/>
      <c r="H70" s="602"/>
      <c r="I70" s="602"/>
      <c r="J70" s="603"/>
      <c r="K70" s="53"/>
    </row>
    <row r="71" spans="1:12" ht="15" customHeight="1">
      <c r="A71" s="619" t="s">
        <v>93</v>
      </c>
      <c r="B71" s="606"/>
      <c r="C71" s="607"/>
      <c r="D71" s="620" t="s">
        <v>207</v>
      </c>
      <c r="E71" s="606"/>
      <c r="F71" s="606"/>
      <c r="G71" s="606"/>
      <c r="H71" s="606"/>
      <c r="I71" s="606"/>
      <c r="J71" s="607"/>
      <c r="K71" s="62" t="s">
        <v>208</v>
      </c>
    </row>
    <row r="72" spans="1:12" ht="15" customHeight="1">
      <c r="A72" s="88"/>
      <c r="B72" s="89"/>
      <c r="C72" s="90"/>
      <c r="D72" s="66" t="s">
        <v>70</v>
      </c>
      <c r="E72" s="67"/>
      <c r="F72" s="67"/>
      <c r="G72" s="67"/>
      <c r="H72" s="67"/>
      <c r="I72" s="82"/>
      <c r="J72" s="57" t="s">
        <v>71</v>
      </c>
      <c r="K72" s="93"/>
    </row>
    <row r="73" spans="1:12" s="56" customFormat="1" ht="15" customHeight="1">
      <c r="A73" s="612">
        <v>0.83333333333333337</v>
      </c>
      <c r="B73" s="602"/>
      <c r="C73" s="603"/>
      <c r="D73" s="613" t="s">
        <v>236</v>
      </c>
      <c r="E73" s="602"/>
      <c r="F73" s="602"/>
      <c r="G73" s="602"/>
      <c r="H73" s="602"/>
      <c r="I73" s="602"/>
      <c r="J73" s="603"/>
      <c r="K73" s="59"/>
    </row>
    <row r="74" spans="1:12" ht="15" customHeight="1">
      <c r="A74" s="601">
        <v>0.85416666666666663</v>
      </c>
      <c r="B74" s="602"/>
      <c r="C74" s="603"/>
      <c r="D74" s="79" t="s">
        <v>211</v>
      </c>
      <c r="E74" s="75"/>
      <c r="F74" s="75"/>
      <c r="G74" s="75"/>
      <c r="H74" s="75"/>
      <c r="I74" s="648" t="s">
        <v>249</v>
      </c>
      <c r="J74" s="603"/>
      <c r="K74" s="53"/>
    </row>
    <row r="75" spans="1:12" ht="15" customHeight="1">
      <c r="A75" s="601"/>
      <c r="B75" s="602"/>
      <c r="C75" s="603"/>
      <c r="D75" s="79" t="s">
        <v>250</v>
      </c>
      <c r="E75" s="75"/>
      <c r="F75" s="75"/>
      <c r="G75" s="75"/>
      <c r="H75" s="75"/>
      <c r="I75" s="87"/>
      <c r="J75" s="83" t="s">
        <v>251</v>
      </c>
      <c r="K75" s="53"/>
    </row>
    <row r="76" spans="1:12" ht="15" customHeight="1">
      <c r="A76" s="73">
        <f>A66+1</f>
        <v>5</v>
      </c>
      <c r="B76" s="614">
        <f>B66+1</f>
        <v>46192</v>
      </c>
      <c r="C76" s="603"/>
      <c r="D76" s="615" t="s">
        <v>255</v>
      </c>
      <c r="E76" s="602"/>
      <c r="F76" s="602"/>
      <c r="G76" s="602"/>
      <c r="H76" s="602"/>
      <c r="I76" s="602"/>
      <c r="J76" s="603"/>
      <c r="K76" s="74"/>
    </row>
    <row r="77" spans="1:12" ht="15" customHeight="1">
      <c r="A77" s="621"/>
      <c r="B77" s="602"/>
      <c r="C77" s="603"/>
      <c r="D77" s="604" t="s">
        <v>371</v>
      </c>
      <c r="E77" s="602"/>
      <c r="F77" s="602"/>
      <c r="G77" s="602"/>
      <c r="H77" s="602"/>
      <c r="I77" s="602"/>
      <c r="J77" s="603"/>
      <c r="K77" s="53" t="s">
        <v>218</v>
      </c>
    </row>
    <row r="78" spans="1:12" ht="15" customHeight="1">
      <c r="A78" s="601">
        <v>0.29166666666666669</v>
      </c>
      <c r="B78" s="602"/>
      <c r="C78" s="603"/>
      <c r="D78" s="637" t="s">
        <v>256</v>
      </c>
      <c r="E78" s="602"/>
      <c r="F78" s="602"/>
      <c r="G78" s="602"/>
      <c r="H78" s="602"/>
      <c r="I78" s="602"/>
      <c r="J78" s="603"/>
      <c r="K78" s="53"/>
    </row>
    <row r="79" spans="1:12" ht="15" customHeight="1">
      <c r="A79" s="601">
        <v>0.33333333333333331</v>
      </c>
      <c r="B79" s="602"/>
      <c r="C79" s="603"/>
      <c r="D79" s="637" t="s">
        <v>257</v>
      </c>
      <c r="E79" s="602"/>
      <c r="F79" s="602"/>
      <c r="G79" s="602"/>
      <c r="H79" s="602"/>
      <c r="I79" s="602"/>
      <c r="J79" s="603"/>
      <c r="K79" s="53"/>
      <c r="L79" s="78"/>
    </row>
    <row r="80" spans="1:12" ht="15" customHeight="1">
      <c r="A80" s="601">
        <v>0.40902777777777782</v>
      </c>
      <c r="B80" s="602"/>
      <c r="C80" s="603"/>
      <c r="D80" s="617" t="s">
        <v>258</v>
      </c>
      <c r="E80" s="602"/>
      <c r="F80" s="602"/>
      <c r="G80" s="602"/>
      <c r="H80" s="602"/>
      <c r="I80" s="602"/>
      <c r="J80" s="603"/>
      <c r="K80" s="53"/>
    </row>
    <row r="81" spans="1:12" ht="15" customHeight="1">
      <c r="A81" s="601">
        <v>0.41666666666666669</v>
      </c>
      <c r="B81" s="602"/>
      <c r="C81" s="603"/>
      <c r="D81" s="647" t="s">
        <v>259</v>
      </c>
      <c r="E81" s="602"/>
      <c r="F81" s="602"/>
      <c r="G81" s="602"/>
      <c r="H81" s="602"/>
      <c r="I81" s="602"/>
      <c r="J81" s="603"/>
      <c r="K81" s="53"/>
    </row>
    <row r="82" spans="1:12" ht="15" customHeight="1">
      <c r="A82" s="601" t="s">
        <v>260</v>
      </c>
      <c r="B82" s="602"/>
      <c r="C82" s="603"/>
      <c r="D82" s="617" t="s">
        <v>261</v>
      </c>
      <c r="E82" s="602"/>
      <c r="F82" s="602"/>
      <c r="G82" s="602"/>
      <c r="H82" s="602"/>
      <c r="I82" s="602"/>
      <c r="J82" s="603"/>
      <c r="K82" s="53"/>
    </row>
    <row r="83" spans="1:12" ht="15" customHeight="1">
      <c r="A83" s="601">
        <v>0.54166666666666663</v>
      </c>
      <c r="B83" s="602"/>
      <c r="C83" s="603"/>
      <c r="D83" s="617" t="s">
        <v>262</v>
      </c>
      <c r="E83" s="602"/>
      <c r="F83" s="602"/>
      <c r="G83" s="602"/>
      <c r="H83" s="602"/>
      <c r="I83" s="602"/>
      <c r="J83" s="603"/>
      <c r="K83" s="53"/>
    </row>
    <row r="84" spans="1:12" ht="15" customHeight="1">
      <c r="A84" s="619" t="s">
        <v>263</v>
      </c>
      <c r="B84" s="606"/>
      <c r="C84" s="607"/>
      <c r="D84" s="620" t="s">
        <v>224</v>
      </c>
      <c r="E84" s="606"/>
      <c r="F84" s="606"/>
      <c r="G84" s="606"/>
      <c r="H84" s="606"/>
      <c r="I84" s="606"/>
      <c r="J84" s="607"/>
      <c r="K84" s="62" t="s">
        <v>199</v>
      </c>
    </row>
    <row r="85" spans="1:12" ht="15" customHeight="1">
      <c r="A85" s="88"/>
      <c r="B85" s="89"/>
      <c r="C85" s="90"/>
      <c r="D85" s="91" t="s">
        <v>264</v>
      </c>
      <c r="E85" s="92"/>
      <c r="F85" s="92"/>
      <c r="G85" s="92"/>
      <c r="H85" s="92"/>
      <c r="I85" s="68"/>
      <c r="J85" s="69" t="s">
        <v>265</v>
      </c>
      <c r="K85" s="93"/>
    </row>
    <row r="86" spans="1:12" ht="15" customHeight="1">
      <c r="A86" s="601" t="s">
        <v>266</v>
      </c>
      <c r="B86" s="602"/>
      <c r="C86" s="603"/>
      <c r="D86" s="646" t="s">
        <v>267</v>
      </c>
      <c r="E86" s="602"/>
      <c r="F86" s="602"/>
      <c r="G86" s="602"/>
      <c r="H86" s="602"/>
      <c r="I86" s="602"/>
      <c r="J86" s="603"/>
      <c r="K86" s="53"/>
    </row>
    <row r="87" spans="1:12" ht="15" customHeight="1">
      <c r="A87" s="635">
        <v>0.71527777777777779</v>
      </c>
      <c r="B87" s="602"/>
      <c r="C87" s="603"/>
      <c r="D87" s="636" t="s">
        <v>268</v>
      </c>
      <c r="E87" s="602"/>
      <c r="F87" s="602"/>
      <c r="G87" s="602"/>
      <c r="H87" s="602"/>
      <c r="I87" s="602"/>
      <c r="J87" s="603"/>
      <c r="K87" s="85"/>
      <c r="L87" s="78"/>
    </row>
    <row r="88" spans="1:12" s="56" customFormat="1" ht="15" customHeight="1">
      <c r="A88" s="612">
        <v>0.80208333333333337</v>
      </c>
      <c r="B88" s="602"/>
      <c r="C88" s="603"/>
      <c r="D88" s="644" t="s">
        <v>234</v>
      </c>
      <c r="E88" s="602"/>
      <c r="F88" s="602"/>
      <c r="G88" s="602"/>
      <c r="H88" s="602"/>
      <c r="I88" s="602"/>
      <c r="J88" s="603"/>
      <c r="K88" s="59"/>
    </row>
    <row r="89" spans="1:12" ht="15" customHeight="1">
      <c r="A89" s="619" t="s">
        <v>269</v>
      </c>
      <c r="B89" s="606"/>
      <c r="C89" s="607"/>
      <c r="D89" s="620" t="s">
        <v>207</v>
      </c>
      <c r="E89" s="606"/>
      <c r="F89" s="606"/>
      <c r="G89" s="606"/>
      <c r="H89" s="606"/>
      <c r="I89" s="606"/>
      <c r="J89" s="607"/>
      <c r="K89" s="62" t="s">
        <v>208</v>
      </c>
    </row>
    <row r="90" spans="1:12" ht="15" customHeight="1">
      <c r="A90" s="88"/>
      <c r="B90" s="89"/>
      <c r="C90" s="90"/>
      <c r="D90" s="66" t="s">
        <v>70</v>
      </c>
      <c r="E90" s="67"/>
      <c r="F90" s="67"/>
      <c r="G90" s="67"/>
      <c r="H90" s="67"/>
      <c r="I90" s="82"/>
      <c r="J90" s="57" t="s">
        <v>71</v>
      </c>
      <c r="K90" s="93"/>
    </row>
    <row r="91" spans="1:12" s="56" customFormat="1" ht="15" customHeight="1">
      <c r="A91" s="612">
        <v>0.85416666666666663</v>
      </c>
      <c r="B91" s="602"/>
      <c r="C91" s="603"/>
      <c r="D91" s="613" t="s">
        <v>236</v>
      </c>
      <c r="E91" s="602"/>
      <c r="F91" s="602"/>
      <c r="G91" s="602"/>
      <c r="H91" s="602"/>
      <c r="I91" s="602"/>
      <c r="J91" s="603"/>
      <c r="K91" s="59"/>
    </row>
    <row r="92" spans="1:12" ht="15" customHeight="1">
      <c r="A92" s="601">
        <v>0.875</v>
      </c>
      <c r="B92" s="602"/>
      <c r="C92" s="603"/>
      <c r="D92" s="79" t="s">
        <v>211</v>
      </c>
      <c r="E92" s="75"/>
      <c r="F92" s="75"/>
      <c r="G92" s="75"/>
      <c r="H92" s="75"/>
      <c r="I92" s="645" t="s">
        <v>249</v>
      </c>
      <c r="J92" s="603"/>
      <c r="K92" s="53"/>
    </row>
    <row r="93" spans="1:12" ht="15" customHeight="1">
      <c r="A93" s="601"/>
      <c r="B93" s="602"/>
      <c r="C93" s="603"/>
      <c r="D93" s="79" t="s">
        <v>250</v>
      </c>
      <c r="E93" s="75"/>
      <c r="F93" s="75"/>
      <c r="G93" s="75"/>
      <c r="H93" s="75"/>
      <c r="I93" s="87"/>
      <c r="J93" s="83" t="s">
        <v>251</v>
      </c>
      <c r="K93" s="53"/>
    </row>
    <row r="94" spans="1:12" ht="15" customHeight="1">
      <c r="A94" s="73">
        <f>A76+1</f>
        <v>6</v>
      </c>
      <c r="B94" s="614">
        <f>B76+1</f>
        <v>46193</v>
      </c>
      <c r="C94" s="603"/>
      <c r="D94" s="615" t="s">
        <v>270</v>
      </c>
      <c r="E94" s="602"/>
      <c r="F94" s="602"/>
      <c r="G94" s="602"/>
      <c r="H94" s="602"/>
      <c r="I94" s="602"/>
      <c r="J94" s="603"/>
      <c r="K94" s="74"/>
    </row>
    <row r="95" spans="1:12" ht="15" customHeight="1">
      <c r="A95" s="621" t="s">
        <v>94</v>
      </c>
      <c r="B95" s="602"/>
      <c r="C95" s="603"/>
      <c r="D95" s="604" t="s">
        <v>217</v>
      </c>
      <c r="E95" s="602"/>
      <c r="F95" s="602"/>
      <c r="G95" s="602"/>
      <c r="H95" s="602"/>
      <c r="I95" s="602"/>
      <c r="J95" s="603"/>
      <c r="K95" s="53" t="s">
        <v>218</v>
      </c>
    </row>
    <row r="96" spans="1:12" ht="15" customHeight="1">
      <c r="A96" s="601">
        <v>0.39583333333333331</v>
      </c>
      <c r="B96" s="602"/>
      <c r="C96" s="603"/>
      <c r="D96" s="617" t="s">
        <v>271</v>
      </c>
      <c r="E96" s="602"/>
      <c r="F96" s="602"/>
      <c r="G96" s="602"/>
      <c r="H96" s="602"/>
      <c r="I96" s="602"/>
      <c r="J96" s="603"/>
      <c r="K96" s="53"/>
    </row>
    <row r="97" spans="1:12" s="71" customFormat="1" ht="15" customHeight="1">
      <c r="A97" s="616" t="s">
        <v>95</v>
      </c>
      <c r="B97" s="602"/>
      <c r="C97" s="603"/>
      <c r="D97" s="631" t="s">
        <v>272</v>
      </c>
      <c r="E97" s="602"/>
      <c r="F97" s="602"/>
      <c r="G97" s="602"/>
      <c r="H97" s="602"/>
      <c r="I97" s="602"/>
      <c r="J97" s="603"/>
      <c r="K97" s="85"/>
      <c r="L97" s="78"/>
    </row>
    <row r="98" spans="1:12" s="56" customFormat="1" ht="15" customHeight="1">
      <c r="A98" s="612">
        <v>0.53125</v>
      </c>
      <c r="B98" s="602"/>
      <c r="C98" s="603"/>
      <c r="D98" s="644" t="s">
        <v>273</v>
      </c>
      <c r="E98" s="602"/>
      <c r="F98" s="602"/>
      <c r="G98" s="602"/>
      <c r="H98" s="602"/>
      <c r="I98" s="602"/>
      <c r="J98" s="603"/>
      <c r="K98" s="59"/>
    </row>
    <row r="99" spans="1:12" ht="15" customHeight="1">
      <c r="A99" s="619" t="s">
        <v>61</v>
      </c>
      <c r="B99" s="606"/>
      <c r="C99" s="607"/>
      <c r="D99" s="620" t="s">
        <v>274</v>
      </c>
      <c r="E99" s="606"/>
      <c r="F99" s="606"/>
      <c r="G99" s="606"/>
      <c r="H99" s="606"/>
      <c r="I99" s="606"/>
      <c r="J99" s="607"/>
      <c r="K99" s="62" t="s">
        <v>199</v>
      </c>
    </row>
    <row r="100" spans="1:12" ht="15" customHeight="1">
      <c r="A100" s="88"/>
      <c r="B100" s="89"/>
      <c r="C100" s="90"/>
      <c r="D100" s="66" t="s">
        <v>70</v>
      </c>
      <c r="E100" s="67"/>
      <c r="F100" s="67"/>
      <c r="G100" s="67"/>
      <c r="H100" s="67"/>
      <c r="I100" s="82"/>
      <c r="J100" s="57" t="s">
        <v>71</v>
      </c>
      <c r="K100" s="93"/>
    </row>
    <row r="101" spans="1:12" ht="15" customHeight="1">
      <c r="A101" s="601">
        <v>0.60416666666666663</v>
      </c>
      <c r="B101" s="602"/>
      <c r="C101" s="603"/>
      <c r="D101" s="618" t="s">
        <v>97</v>
      </c>
      <c r="E101" s="602"/>
      <c r="F101" s="602"/>
      <c r="G101" s="602"/>
      <c r="H101" s="602"/>
      <c r="I101" s="602"/>
      <c r="J101" s="603"/>
      <c r="K101" s="84"/>
    </row>
    <row r="102" spans="1:12" ht="15" customHeight="1">
      <c r="A102" s="601" t="s">
        <v>98</v>
      </c>
      <c r="B102" s="602"/>
      <c r="C102" s="603"/>
      <c r="D102" s="618" t="s">
        <v>96</v>
      </c>
      <c r="E102" s="602"/>
      <c r="F102" s="602"/>
      <c r="G102" s="602"/>
      <c r="H102" s="602"/>
      <c r="I102" s="602"/>
      <c r="J102" s="603"/>
      <c r="K102" s="84"/>
    </row>
    <row r="103" spans="1:12" ht="15" customHeight="1">
      <c r="A103" s="601">
        <v>0.72916666666666663</v>
      </c>
      <c r="B103" s="602"/>
      <c r="C103" s="603"/>
      <c r="D103" s="618" t="s">
        <v>254</v>
      </c>
      <c r="E103" s="602"/>
      <c r="F103" s="602"/>
      <c r="G103" s="602"/>
      <c r="H103" s="602"/>
      <c r="I103" s="602"/>
      <c r="J103" s="603"/>
      <c r="K103" s="53"/>
    </row>
    <row r="104" spans="1:12" ht="15" customHeight="1">
      <c r="A104" s="605" t="s">
        <v>93</v>
      </c>
      <c r="B104" s="606"/>
      <c r="C104" s="607"/>
      <c r="D104" s="632" t="s">
        <v>275</v>
      </c>
      <c r="E104" s="606"/>
      <c r="F104" s="606"/>
      <c r="G104" s="606"/>
      <c r="H104" s="606"/>
      <c r="I104" s="606"/>
      <c r="J104" s="607"/>
      <c r="K104" s="62" t="s">
        <v>208</v>
      </c>
    </row>
    <row r="105" spans="1:12" ht="15" customHeight="1">
      <c r="A105" s="94"/>
      <c r="B105" s="89"/>
      <c r="C105" s="90"/>
      <c r="D105" s="66" t="s">
        <v>276</v>
      </c>
      <c r="E105" s="67"/>
      <c r="F105" s="67"/>
      <c r="G105" s="67"/>
      <c r="H105" s="67"/>
      <c r="I105" s="82"/>
      <c r="J105" s="69" t="s">
        <v>277</v>
      </c>
      <c r="K105" s="70"/>
    </row>
    <row r="106" spans="1:12" s="56" customFormat="1" ht="15" customHeight="1">
      <c r="A106" s="612">
        <v>0.83333333333333337</v>
      </c>
      <c r="B106" s="602"/>
      <c r="C106" s="603"/>
      <c r="D106" s="613" t="s">
        <v>236</v>
      </c>
      <c r="E106" s="602"/>
      <c r="F106" s="602"/>
      <c r="G106" s="602"/>
      <c r="H106" s="602"/>
      <c r="I106" s="602"/>
      <c r="J106" s="603"/>
      <c r="K106" s="59"/>
    </row>
    <row r="107" spans="1:12" ht="15" customHeight="1">
      <c r="A107" s="601">
        <v>0.84375</v>
      </c>
      <c r="B107" s="602"/>
      <c r="C107" s="603"/>
      <c r="D107" s="79" t="s">
        <v>278</v>
      </c>
      <c r="E107" s="75"/>
      <c r="F107" s="75"/>
      <c r="G107" s="75"/>
      <c r="H107" s="75"/>
      <c r="I107" s="638" t="s">
        <v>279</v>
      </c>
      <c r="J107" s="603"/>
      <c r="K107" s="53"/>
    </row>
    <row r="108" spans="1:12" ht="15" customHeight="1">
      <c r="A108" s="601"/>
      <c r="B108" s="602"/>
      <c r="C108" s="603"/>
      <c r="D108" s="79" t="s">
        <v>100</v>
      </c>
      <c r="E108" s="75"/>
      <c r="F108" s="75"/>
      <c r="G108" s="75"/>
      <c r="H108" s="75"/>
      <c r="I108" s="87"/>
      <c r="J108" s="118" t="s">
        <v>99</v>
      </c>
      <c r="K108" s="53"/>
    </row>
    <row r="109" spans="1:12" ht="15" customHeight="1">
      <c r="A109" s="73">
        <f>A94+1</f>
        <v>7</v>
      </c>
      <c r="B109" s="614">
        <f>B94+1</f>
        <v>46194</v>
      </c>
      <c r="C109" s="603"/>
      <c r="D109" s="643" t="s">
        <v>280</v>
      </c>
      <c r="E109" s="602"/>
      <c r="F109" s="602"/>
      <c r="G109" s="602"/>
      <c r="H109" s="602"/>
      <c r="I109" s="602"/>
      <c r="J109" s="603"/>
      <c r="K109" s="74"/>
    </row>
    <row r="110" spans="1:12" ht="15" customHeight="1">
      <c r="A110" s="621" t="s">
        <v>216</v>
      </c>
      <c r="B110" s="602"/>
      <c r="C110" s="603"/>
      <c r="D110" s="604" t="s">
        <v>217</v>
      </c>
      <c r="E110" s="602"/>
      <c r="F110" s="602"/>
      <c r="G110" s="602"/>
      <c r="H110" s="602"/>
      <c r="I110" s="602"/>
      <c r="J110" s="603"/>
      <c r="K110" s="53" t="s">
        <v>218</v>
      </c>
    </row>
    <row r="111" spans="1:12" s="71" customFormat="1" ht="15" customHeight="1">
      <c r="A111" s="616">
        <v>0.375</v>
      </c>
      <c r="B111" s="602"/>
      <c r="C111" s="603"/>
      <c r="D111" s="631" t="s">
        <v>281</v>
      </c>
      <c r="E111" s="602"/>
      <c r="F111" s="602"/>
      <c r="G111" s="602"/>
      <c r="H111" s="602"/>
      <c r="I111" s="602"/>
      <c r="J111" s="603"/>
      <c r="K111" s="85"/>
    </row>
    <row r="112" spans="1:12" ht="15" customHeight="1">
      <c r="A112" s="621" t="s">
        <v>282</v>
      </c>
      <c r="B112" s="602"/>
      <c r="C112" s="603"/>
      <c r="D112" s="622" t="s">
        <v>283</v>
      </c>
      <c r="E112" s="602"/>
      <c r="F112" s="602"/>
      <c r="G112" s="602"/>
      <c r="H112" s="602"/>
      <c r="I112" s="602"/>
      <c r="J112" s="603"/>
      <c r="K112" s="53"/>
      <c r="L112" s="78"/>
    </row>
    <row r="113" spans="1:12" ht="15" customHeight="1">
      <c r="A113" s="621" t="s">
        <v>60</v>
      </c>
      <c r="B113" s="602"/>
      <c r="C113" s="603"/>
      <c r="D113" s="622" t="s">
        <v>284</v>
      </c>
      <c r="E113" s="602"/>
      <c r="F113" s="602"/>
      <c r="G113" s="602"/>
      <c r="H113" s="602"/>
      <c r="I113" s="602"/>
      <c r="J113" s="603"/>
      <c r="K113" s="53"/>
      <c r="L113" s="78"/>
    </row>
    <row r="114" spans="1:12" ht="15" customHeight="1">
      <c r="A114" s="601">
        <v>0.52083333333333337</v>
      </c>
      <c r="B114" s="602"/>
      <c r="C114" s="603"/>
      <c r="D114" s="618" t="s">
        <v>273</v>
      </c>
      <c r="E114" s="602"/>
      <c r="F114" s="602"/>
      <c r="G114" s="602"/>
      <c r="H114" s="602"/>
      <c r="I114" s="602"/>
      <c r="J114" s="603"/>
      <c r="K114" s="53"/>
    </row>
    <row r="115" spans="1:12" ht="15" customHeight="1">
      <c r="A115" s="626" t="s">
        <v>285</v>
      </c>
      <c r="B115" s="606"/>
      <c r="C115" s="607"/>
      <c r="D115" s="642" t="s">
        <v>224</v>
      </c>
      <c r="E115" s="606"/>
      <c r="F115" s="606"/>
      <c r="G115" s="606"/>
      <c r="H115" s="606"/>
      <c r="I115" s="606"/>
      <c r="J115" s="607"/>
      <c r="K115" s="95" t="s">
        <v>199</v>
      </c>
    </row>
    <row r="116" spans="1:12" ht="15" customHeight="1">
      <c r="A116" s="640"/>
      <c r="B116" s="611"/>
      <c r="C116" s="624"/>
      <c r="D116" s="66" t="s">
        <v>276</v>
      </c>
      <c r="E116" s="67"/>
      <c r="F116" s="67"/>
      <c r="G116" s="67"/>
      <c r="H116" s="67"/>
      <c r="I116" s="82"/>
      <c r="J116" s="69" t="s">
        <v>277</v>
      </c>
      <c r="K116" s="70"/>
    </row>
    <row r="117" spans="1:12" ht="15" customHeight="1">
      <c r="A117" s="601">
        <v>0.58333333333333337</v>
      </c>
      <c r="B117" s="602"/>
      <c r="C117" s="603"/>
      <c r="D117" s="622" t="s">
        <v>286</v>
      </c>
      <c r="E117" s="602"/>
      <c r="F117" s="602"/>
      <c r="G117" s="602"/>
      <c r="H117" s="602"/>
      <c r="I117" s="602"/>
      <c r="J117" s="603"/>
      <c r="K117" s="53"/>
    </row>
    <row r="118" spans="1:12" ht="15" customHeight="1">
      <c r="A118" s="605">
        <v>0.625</v>
      </c>
      <c r="B118" s="606"/>
      <c r="C118" s="607"/>
      <c r="D118" s="620" t="s">
        <v>287</v>
      </c>
      <c r="E118" s="606"/>
      <c r="F118" s="606"/>
      <c r="G118" s="606"/>
      <c r="H118" s="606"/>
      <c r="I118" s="606"/>
      <c r="J118" s="607"/>
      <c r="K118" s="62"/>
      <c r="L118" s="60"/>
    </row>
    <row r="119" spans="1:12" ht="15" customHeight="1">
      <c r="A119" s="623"/>
      <c r="B119" s="611"/>
      <c r="C119" s="624"/>
      <c r="D119" s="641" t="s">
        <v>288</v>
      </c>
      <c r="E119" s="611"/>
      <c r="F119" s="611"/>
      <c r="G119" s="611"/>
      <c r="H119" s="611"/>
      <c r="I119" s="611"/>
      <c r="J119" s="624"/>
      <c r="K119" s="93"/>
    </row>
    <row r="120" spans="1:12" ht="15" customHeight="1">
      <c r="A120" s="621" t="s">
        <v>289</v>
      </c>
      <c r="B120" s="602"/>
      <c r="C120" s="603"/>
      <c r="D120" s="631" t="s">
        <v>290</v>
      </c>
      <c r="E120" s="602"/>
      <c r="F120" s="602"/>
      <c r="G120" s="602"/>
      <c r="H120" s="602"/>
      <c r="I120" s="602"/>
      <c r="J120" s="603"/>
      <c r="K120" s="53"/>
      <c r="L120" s="78"/>
    </row>
    <row r="121" spans="1:12" ht="15" customHeight="1">
      <c r="A121" s="601">
        <v>0.70833333333333337</v>
      </c>
      <c r="B121" s="602"/>
      <c r="C121" s="603"/>
      <c r="D121" s="639" t="s">
        <v>291</v>
      </c>
      <c r="E121" s="602"/>
      <c r="F121" s="602"/>
      <c r="G121" s="602"/>
      <c r="H121" s="602"/>
      <c r="I121" s="602"/>
      <c r="J121" s="603"/>
      <c r="K121" s="53"/>
    </row>
    <row r="122" spans="1:12" ht="15" customHeight="1">
      <c r="A122" s="621" t="s">
        <v>292</v>
      </c>
      <c r="B122" s="602"/>
      <c r="C122" s="603"/>
      <c r="D122" s="631" t="s">
        <v>293</v>
      </c>
      <c r="E122" s="602"/>
      <c r="F122" s="602"/>
      <c r="G122" s="602"/>
      <c r="H122" s="602"/>
      <c r="I122" s="602"/>
      <c r="J122" s="603"/>
      <c r="K122" s="53"/>
    </row>
    <row r="123" spans="1:12" ht="15" customHeight="1">
      <c r="A123" s="605" t="s">
        <v>93</v>
      </c>
      <c r="B123" s="606"/>
      <c r="C123" s="607"/>
      <c r="D123" s="632" t="s">
        <v>275</v>
      </c>
      <c r="E123" s="606"/>
      <c r="F123" s="606"/>
      <c r="G123" s="606"/>
      <c r="H123" s="606"/>
      <c r="I123" s="606"/>
      <c r="J123" s="607"/>
      <c r="K123" s="62" t="s">
        <v>208</v>
      </c>
    </row>
    <row r="124" spans="1:12" ht="15" customHeight="1">
      <c r="A124" s="94"/>
      <c r="B124" s="89"/>
      <c r="C124" s="90"/>
      <c r="D124" s="66" t="s">
        <v>276</v>
      </c>
      <c r="E124" s="67"/>
      <c r="F124" s="67"/>
      <c r="G124" s="67"/>
      <c r="H124" s="67"/>
      <c r="I124" s="82"/>
      <c r="J124" s="69" t="s">
        <v>277</v>
      </c>
      <c r="K124" s="70"/>
    </row>
    <row r="125" spans="1:12" s="56" customFormat="1" ht="15" customHeight="1">
      <c r="A125" s="612">
        <v>0.83333333333333337</v>
      </c>
      <c r="B125" s="602"/>
      <c r="C125" s="603"/>
      <c r="D125" s="613" t="s">
        <v>236</v>
      </c>
      <c r="E125" s="602"/>
      <c r="F125" s="602"/>
      <c r="G125" s="602"/>
      <c r="H125" s="602"/>
      <c r="I125" s="602"/>
      <c r="J125" s="603"/>
      <c r="K125" s="59"/>
    </row>
    <row r="126" spans="1:12" ht="15" customHeight="1">
      <c r="A126" s="601">
        <v>0.84375</v>
      </c>
      <c r="B126" s="602"/>
      <c r="C126" s="603"/>
      <c r="D126" s="79" t="s">
        <v>278</v>
      </c>
      <c r="E126" s="75"/>
      <c r="F126" s="75"/>
      <c r="G126" s="75"/>
      <c r="H126" s="75"/>
      <c r="I126" s="638" t="s">
        <v>279</v>
      </c>
      <c r="J126" s="603"/>
      <c r="K126" s="53"/>
    </row>
    <row r="127" spans="1:12" ht="15" customHeight="1">
      <c r="A127" s="601"/>
      <c r="B127" s="602"/>
      <c r="C127" s="603"/>
      <c r="D127" s="79" t="s">
        <v>100</v>
      </c>
      <c r="E127" s="75"/>
      <c r="F127" s="75"/>
      <c r="G127" s="75"/>
      <c r="H127" s="75"/>
      <c r="I127" s="87"/>
      <c r="J127" s="118" t="s">
        <v>99</v>
      </c>
      <c r="K127" s="53"/>
    </row>
    <row r="128" spans="1:12" ht="15" customHeight="1">
      <c r="A128" s="73">
        <f>A109+1</f>
        <v>8</v>
      </c>
      <c r="B128" s="614">
        <f>B109+1</f>
        <v>46195</v>
      </c>
      <c r="C128" s="603"/>
      <c r="D128" s="615" t="s">
        <v>101</v>
      </c>
      <c r="E128" s="602"/>
      <c r="F128" s="602"/>
      <c r="G128" s="602"/>
      <c r="H128" s="602"/>
      <c r="I128" s="602"/>
      <c r="J128" s="603"/>
      <c r="K128" s="74"/>
    </row>
    <row r="129" spans="1:12" ht="15" customHeight="1">
      <c r="A129" s="621" t="s">
        <v>102</v>
      </c>
      <c r="B129" s="602"/>
      <c r="C129" s="603"/>
      <c r="D129" s="604" t="s">
        <v>217</v>
      </c>
      <c r="E129" s="602"/>
      <c r="F129" s="602"/>
      <c r="G129" s="602"/>
      <c r="H129" s="602"/>
      <c r="I129" s="602"/>
      <c r="J129" s="603"/>
      <c r="K129" s="53" t="s">
        <v>218</v>
      </c>
    </row>
    <row r="130" spans="1:12" ht="15" customHeight="1">
      <c r="A130" s="601">
        <v>0.36805555555555558</v>
      </c>
      <c r="B130" s="602"/>
      <c r="C130" s="603"/>
      <c r="D130" s="637" t="s">
        <v>103</v>
      </c>
      <c r="E130" s="602"/>
      <c r="F130" s="602"/>
      <c r="G130" s="602"/>
      <c r="H130" s="602"/>
      <c r="I130" s="602"/>
      <c r="J130" s="603"/>
      <c r="K130" s="53"/>
    </row>
    <row r="131" spans="1:12" ht="15" customHeight="1">
      <c r="A131" s="635">
        <v>0.39583333333333331</v>
      </c>
      <c r="B131" s="602"/>
      <c r="C131" s="603"/>
      <c r="D131" s="636" t="s">
        <v>294</v>
      </c>
      <c r="E131" s="602"/>
      <c r="F131" s="602"/>
      <c r="G131" s="602"/>
      <c r="H131" s="602"/>
      <c r="I131" s="602"/>
      <c r="J131" s="603"/>
      <c r="K131" s="85"/>
      <c r="L131" s="78"/>
    </row>
    <row r="132" spans="1:12" ht="15" customHeight="1">
      <c r="A132" s="601">
        <v>0.50347222222222221</v>
      </c>
      <c r="B132" s="602"/>
      <c r="C132" s="603"/>
      <c r="D132" s="622" t="s">
        <v>295</v>
      </c>
      <c r="E132" s="602"/>
      <c r="F132" s="602"/>
      <c r="G132" s="602"/>
      <c r="H132" s="602"/>
      <c r="I132" s="602"/>
      <c r="J132" s="603"/>
      <c r="K132" s="53"/>
    </row>
    <row r="133" spans="1:12" ht="15" customHeight="1">
      <c r="A133" s="626" t="s">
        <v>105</v>
      </c>
      <c r="B133" s="606"/>
      <c r="C133" s="607"/>
      <c r="D133" s="627" t="s">
        <v>296</v>
      </c>
      <c r="E133" s="606"/>
      <c r="F133" s="606"/>
      <c r="G133" s="606"/>
      <c r="H133" s="606"/>
      <c r="I133" s="606"/>
      <c r="J133" s="607"/>
      <c r="K133" s="62" t="s">
        <v>199</v>
      </c>
    </row>
    <row r="134" spans="1:12" ht="15" customHeight="1">
      <c r="A134" s="628"/>
      <c r="B134" s="611"/>
      <c r="C134" s="624"/>
      <c r="D134" s="66" t="s">
        <v>297</v>
      </c>
      <c r="E134" s="67"/>
      <c r="F134" s="67"/>
      <c r="G134" s="67"/>
      <c r="H134" s="67"/>
      <c r="I134" s="106"/>
      <c r="J134" s="37" t="s">
        <v>104</v>
      </c>
      <c r="K134" s="93"/>
    </row>
    <row r="135" spans="1:12" ht="15" customHeight="1">
      <c r="A135" s="605" t="s">
        <v>298</v>
      </c>
      <c r="B135" s="606"/>
      <c r="C135" s="607"/>
      <c r="D135" s="632" t="s">
        <v>107</v>
      </c>
      <c r="E135" s="606"/>
      <c r="F135" s="606"/>
      <c r="G135" s="606"/>
      <c r="H135" s="606"/>
      <c r="I135" s="606"/>
      <c r="J135" s="607"/>
      <c r="K135" s="62"/>
      <c r="L135" s="78"/>
    </row>
    <row r="136" spans="1:12" ht="15" customHeight="1">
      <c r="A136" s="633"/>
      <c r="B136" s="611"/>
      <c r="C136" s="624"/>
      <c r="D136" s="634" t="s">
        <v>106</v>
      </c>
      <c r="E136" s="611"/>
      <c r="F136" s="611"/>
      <c r="G136" s="611"/>
      <c r="H136" s="611"/>
      <c r="I136" s="611"/>
      <c r="J136" s="624"/>
      <c r="K136" s="93"/>
      <c r="L136" s="78"/>
    </row>
    <row r="137" spans="1:12" ht="15" customHeight="1">
      <c r="A137" s="616">
        <v>0.65625</v>
      </c>
      <c r="B137" s="602"/>
      <c r="C137" s="603"/>
      <c r="D137" s="631" t="s">
        <v>108</v>
      </c>
      <c r="E137" s="602"/>
      <c r="F137" s="602"/>
      <c r="G137" s="602"/>
      <c r="H137" s="602"/>
      <c r="I137" s="602"/>
      <c r="J137" s="603"/>
      <c r="K137" s="53"/>
    </row>
    <row r="138" spans="1:12" ht="15" customHeight="1">
      <c r="A138" s="616" t="s">
        <v>299</v>
      </c>
      <c r="B138" s="602"/>
      <c r="C138" s="603"/>
      <c r="D138" s="630" t="s">
        <v>300</v>
      </c>
      <c r="E138" s="602"/>
      <c r="F138" s="602"/>
      <c r="G138" s="602"/>
      <c r="H138" s="602"/>
      <c r="I138" s="602"/>
      <c r="J138" s="603"/>
      <c r="K138" s="62"/>
    </row>
    <row r="139" spans="1:12" ht="15" customHeight="1">
      <c r="A139" s="616">
        <v>0.78125</v>
      </c>
      <c r="B139" s="602"/>
      <c r="C139" s="603"/>
      <c r="D139" s="631" t="s">
        <v>301</v>
      </c>
      <c r="E139" s="602"/>
      <c r="F139" s="602"/>
      <c r="G139" s="602"/>
      <c r="H139" s="602"/>
      <c r="I139" s="602"/>
      <c r="J139" s="603"/>
      <c r="K139" s="53"/>
    </row>
    <row r="140" spans="1:12" ht="15" customHeight="1">
      <c r="A140" s="605" t="s">
        <v>93</v>
      </c>
      <c r="B140" s="606"/>
      <c r="C140" s="607"/>
      <c r="D140" s="632" t="s">
        <v>207</v>
      </c>
      <c r="E140" s="606"/>
      <c r="F140" s="606"/>
      <c r="G140" s="606"/>
      <c r="H140" s="606"/>
      <c r="I140" s="606"/>
      <c r="J140" s="607"/>
      <c r="K140" s="62" t="s">
        <v>208</v>
      </c>
    </row>
    <row r="141" spans="1:12" ht="15" customHeight="1">
      <c r="A141" s="623"/>
      <c r="B141" s="611"/>
      <c r="C141" s="624"/>
      <c r="D141" s="122" t="s">
        <v>302</v>
      </c>
      <c r="E141" s="123"/>
      <c r="F141" s="123"/>
      <c r="G141" s="123"/>
      <c r="H141" s="123"/>
      <c r="I141" s="124"/>
      <c r="J141" s="125" t="s">
        <v>303</v>
      </c>
      <c r="K141" s="93"/>
    </row>
    <row r="142" spans="1:12" s="56" customFormat="1" ht="15" customHeight="1">
      <c r="A142" s="612">
        <v>0.83333333333333337</v>
      </c>
      <c r="B142" s="602"/>
      <c r="C142" s="603"/>
      <c r="D142" s="613" t="s">
        <v>236</v>
      </c>
      <c r="E142" s="602"/>
      <c r="F142" s="602"/>
      <c r="G142" s="602"/>
      <c r="H142" s="602"/>
      <c r="I142" s="602"/>
      <c r="J142" s="603"/>
      <c r="K142" s="59"/>
    </row>
    <row r="143" spans="1:12" ht="15" customHeight="1">
      <c r="A143" s="601">
        <v>0.84375</v>
      </c>
      <c r="B143" s="602"/>
      <c r="C143" s="603"/>
      <c r="D143" s="79" t="s">
        <v>211</v>
      </c>
      <c r="E143" s="75"/>
      <c r="F143" s="75"/>
      <c r="G143" s="75"/>
      <c r="H143" s="75"/>
      <c r="I143" s="75"/>
      <c r="J143" s="72" t="s">
        <v>304</v>
      </c>
      <c r="K143" s="53"/>
    </row>
    <row r="144" spans="1:12" ht="15" customHeight="1">
      <c r="A144" s="50"/>
      <c r="B144" s="51"/>
      <c r="C144" s="52"/>
      <c r="D144" s="629" t="s">
        <v>305</v>
      </c>
      <c r="E144" s="602"/>
      <c r="F144" s="602"/>
      <c r="G144" s="602"/>
      <c r="H144" s="602"/>
      <c r="I144" s="87"/>
      <c r="J144" s="37" t="s">
        <v>306</v>
      </c>
      <c r="K144" s="53"/>
    </row>
    <row r="145" spans="1:11" ht="15" customHeight="1">
      <c r="A145" s="73">
        <f>A128+1</f>
        <v>9</v>
      </c>
      <c r="B145" s="614">
        <f>B128+1</f>
        <v>46196</v>
      </c>
      <c r="C145" s="603"/>
      <c r="D145" s="615" t="s">
        <v>109</v>
      </c>
      <c r="E145" s="602"/>
      <c r="F145" s="602"/>
      <c r="G145" s="602"/>
      <c r="H145" s="602"/>
      <c r="I145" s="602"/>
      <c r="J145" s="603"/>
      <c r="K145" s="74"/>
    </row>
    <row r="146" spans="1:11" ht="15" customHeight="1">
      <c r="A146" s="601" t="s">
        <v>307</v>
      </c>
      <c r="B146" s="602"/>
      <c r="C146" s="603"/>
      <c r="D146" s="604" t="s">
        <v>217</v>
      </c>
      <c r="E146" s="602"/>
      <c r="F146" s="602"/>
      <c r="G146" s="602"/>
      <c r="H146" s="602"/>
      <c r="I146" s="602"/>
      <c r="J146" s="603"/>
      <c r="K146" s="53" t="s">
        <v>218</v>
      </c>
    </row>
    <row r="147" spans="1:11" ht="15" customHeight="1">
      <c r="A147" s="601">
        <v>0.39583333333333331</v>
      </c>
      <c r="B147" s="602"/>
      <c r="C147" s="603"/>
      <c r="D147" s="622" t="s">
        <v>308</v>
      </c>
      <c r="E147" s="602"/>
      <c r="F147" s="602"/>
      <c r="G147" s="602"/>
      <c r="H147" s="602"/>
      <c r="I147" s="602"/>
      <c r="J147" s="603"/>
      <c r="K147" s="53"/>
    </row>
    <row r="148" spans="1:11" ht="15" customHeight="1">
      <c r="A148" s="621" t="s">
        <v>309</v>
      </c>
      <c r="B148" s="602"/>
      <c r="C148" s="603"/>
      <c r="D148" s="622" t="s">
        <v>310</v>
      </c>
      <c r="E148" s="602"/>
      <c r="F148" s="602"/>
      <c r="G148" s="602"/>
      <c r="H148" s="602"/>
      <c r="I148" s="602"/>
      <c r="J148" s="603"/>
      <c r="K148" s="53"/>
    </row>
    <row r="149" spans="1:11" ht="15" customHeight="1">
      <c r="A149" s="601">
        <v>0.46875</v>
      </c>
      <c r="B149" s="602"/>
      <c r="C149" s="603"/>
      <c r="D149" s="618" t="s">
        <v>273</v>
      </c>
      <c r="E149" s="602"/>
      <c r="F149" s="602"/>
      <c r="G149" s="602"/>
      <c r="H149" s="602"/>
      <c r="I149" s="602"/>
      <c r="J149" s="603"/>
      <c r="K149" s="53"/>
    </row>
    <row r="150" spans="1:11" ht="15" customHeight="1">
      <c r="A150" s="626" t="s">
        <v>90</v>
      </c>
      <c r="B150" s="606"/>
      <c r="C150" s="607"/>
      <c r="D150" s="627" t="s">
        <v>296</v>
      </c>
      <c r="E150" s="606"/>
      <c r="F150" s="606"/>
      <c r="G150" s="606"/>
      <c r="H150" s="606"/>
      <c r="I150" s="606"/>
      <c r="J150" s="607"/>
      <c r="K150" s="62" t="s">
        <v>199</v>
      </c>
    </row>
    <row r="151" spans="1:11" ht="15" customHeight="1">
      <c r="A151" s="628"/>
      <c r="B151" s="611"/>
      <c r="C151" s="624"/>
      <c r="D151" s="66" t="s">
        <v>311</v>
      </c>
      <c r="E151" s="67"/>
      <c r="F151" s="67"/>
      <c r="G151" s="67"/>
      <c r="H151" s="67"/>
      <c r="I151" s="82"/>
      <c r="J151" s="135" t="s">
        <v>312</v>
      </c>
      <c r="K151" s="93"/>
    </row>
    <row r="152" spans="1:11" ht="15" customHeight="1">
      <c r="A152" s="601">
        <v>0.5625</v>
      </c>
      <c r="B152" s="602"/>
      <c r="C152" s="603"/>
      <c r="D152" s="618" t="s">
        <v>313</v>
      </c>
      <c r="E152" s="602"/>
      <c r="F152" s="602"/>
      <c r="G152" s="602"/>
      <c r="H152" s="602"/>
      <c r="I152" s="602"/>
      <c r="J152" s="603"/>
      <c r="K152" s="53"/>
    </row>
    <row r="153" spans="1:11" ht="15" customHeight="1">
      <c r="A153" s="621" t="s">
        <v>314</v>
      </c>
      <c r="B153" s="602"/>
      <c r="C153" s="603"/>
      <c r="D153" s="622" t="s">
        <v>315</v>
      </c>
      <c r="E153" s="602"/>
      <c r="F153" s="602"/>
      <c r="G153" s="602"/>
      <c r="H153" s="602"/>
      <c r="I153" s="602"/>
      <c r="J153" s="603"/>
      <c r="K153" s="53"/>
    </row>
    <row r="154" spans="1:11" ht="15" customHeight="1">
      <c r="A154" s="601">
        <v>0.67708333333333337</v>
      </c>
      <c r="B154" s="602"/>
      <c r="C154" s="603"/>
      <c r="D154" s="622" t="s">
        <v>316</v>
      </c>
      <c r="E154" s="602"/>
      <c r="F154" s="602"/>
      <c r="G154" s="602"/>
      <c r="H154" s="602"/>
      <c r="I154" s="602"/>
      <c r="J154" s="603"/>
      <c r="K154" s="53"/>
    </row>
    <row r="155" spans="1:11" ht="15" customHeight="1">
      <c r="A155" s="605" t="s">
        <v>93</v>
      </c>
      <c r="B155" s="606"/>
      <c r="C155" s="607"/>
      <c r="D155" s="625" t="s">
        <v>317</v>
      </c>
      <c r="E155" s="606"/>
      <c r="F155" s="606"/>
      <c r="G155" s="606"/>
      <c r="H155" s="606"/>
      <c r="I155" s="606"/>
      <c r="J155" s="607"/>
      <c r="K155" s="62" t="s">
        <v>208</v>
      </c>
    </row>
    <row r="156" spans="1:11" ht="15" customHeight="1">
      <c r="A156" s="623"/>
      <c r="B156" s="611"/>
      <c r="C156" s="624"/>
      <c r="D156" s="610" t="s">
        <v>200</v>
      </c>
      <c r="E156" s="611"/>
      <c r="F156" s="611"/>
      <c r="G156" s="611"/>
      <c r="H156" s="611"/>
      <c r="I156" s="611"/>
      <c r="J156" s="57" t="s">
        <v>201</v>
      </c>
      <c r="K156" s="93"/>
    </row>
    <row r="157" spans="1:11" s="56" customFormat="1" ht="15" customHeight="1">
      <c r="A157" s="612">
        <v>0.83333333333333337</v>
      </c>
      <c r="B157" s="602"/>
      <c r="C157" s="603"/>
      <c r="D157" s="613" t="s">
        <v>236</v>
      </c>
      <c r="E157" s="602"/>
      <c r="F157" s="602"/>
      <c r="G157" s="602"/>
      <c r="H157" s="602"/>
      <c r="I157" s="602"/>
      <c r="J157" s="603"/>
      <c r="K157" s="59"/>
    </row>
    <row r="158" spans="1:11" ht="15" customHeight="1">
      <c r="A158" s="601">
        <v>0.84375</v>
      </c>
      <c r="B158" s="602"/>
      <c r="C158" s="603"/>
      <c r="D158" s="79" t="s">
        <v>211</v>
      </c>
      <c r="E158" s="75"/>
      <c r="F158" s="75"/>
      <c r="G158" s="75"/>
      <c r="H158" s="75"/>
      <c r="I158" s="75"/>
      <c r="J158" s="72" t="s">
        <v>237</v>
      </c>
      <c r="K158" s="53"/>
    </row>
    <row r="159" spans="1:11" ht="15" customHeight="1">
      <c r="A159" s="601"/>
      <c r="B159" s="602"/>
      <c r="C159" s="603"/>
      <c r="D159" s="97" t="s">
        <v>318</v>
      </c>
      <c r="E159" s="98"/>
      <c r="F159" s="98"/>
      <c r="G159" s="98"/>
      <c r="H159" s="98"/>
      <c r="I159" s="99"/>
      <c r="J159" s="57" t="s">
        <v>319</v>
      </c>
      <c r="K159" s="53"/>
    </row>
    <row r="160" spans="1:11" ht="15" customHeight="1">
      <c r="A160" s="96">
        <f>A145+1</f>
        <v>10</v>
      </c>
      <c r="B160" s="614">
        <f>B145+1</f>
        <v>46197</v>
      </c>
      <c r="C160" s="603"/>
      <c r="D160" s="615" t="s">
        <v>111</v>
      </c>
      <c r="E160" s="602"/>
      <c r="F160" s="602"/>
      <c r="G160" s="602"/>
      <c r="H160" s="602"/>
      <c r="I160" s="602"/>
      <c r="J160" s="603"/>
      <c r="K160" s="74"/>
    </row>
    <row r="161" spans="1:11" ht="15" customHeight="1">
      <c r="A161" s="621" t="s">
        <v>110</v>
      </c>
      <c r="B161" s="602"/>
      <c r="C161" s="603"/>
      <c r="D161" s="604" t="s">
        <v>217</v>
      </c>
      <c r="E161" s="602"/>
      <c r="F161" s="602"/>
      <c r="G161" s="602"/>
      <c r="H161" s="602"/>
      <c r="I161" s="602"/>
      <c r="J161" s="603"/>
      <c r="K161" s="53" t="s">
        <v>218</v>
      </c>
    </row>
    <row r="162" spans="1:11" ht="15" customHeight="1">
      <c r="A162" s="601">
        <v>0.36458333333333331</v>
      </c>
      <c r="B162" s="602"/>
      <c r="C162" s="603"/>
      <c r="D162" s="622" t="s">
        <v>112</v>
      </c>
      <c r="E162" s="602"/>
      <c r="F162" s="602"/>
      <c r="G162" s="602"/>
      <c r="H162" s="602"/>
      <c r="I162" s="602"/>
      <c r="J162" s="603"/>
      <c r="K162" s="53"/>
    </row>
    <row r="163" spans="1:11" s="71" customFormat="1" ht="15" customHeight="1">
      <c r="A163" s="616" t="s">
        <v>92</v>
      </c>
      <c r="B163" s="602"/>
      <c r="C163" s="603"/>
      <c r="D163" s="617" t="s">
        <v>113</v>
      </c>
      <c r="E163" s="602"/>
      <c r="F163" s="602"/>
      <c r="G163" s="602"/>
      <c r="H163" s="602"/>
      <c r="I163" s="602"/>
      <c r="J163" s="603"/>
      <c r="K163" s="85"/>
    </row>
    <row r="164" spans="1:11" ht="15" customHeight="1">
      <c r="A164" s="601">
        <v>0.77083333333333337</v>
      </c>
      <c r="B164" s="602"/>
      <c r="C164" s="603"/>
      <c r="D164" s="618" t="s">
        <v>372</v>
      </c>
      <c r="E164" s="602"/>
      <c r="F164" s="602"/>
      <c r="G164" s="602"/>
      <c r="H164" s="602"/>
      <c r="I164" s="602"/>
      <c r="J164" s="603"/>
      <c r="K164" s="53" t="s">
        <v>199</v>
      </c>
    </row>
    <row r="165" spans="1:11" ht="15" customHeight="1">
      <c r="A165" s="619" t="s">
        <v>93</v>
      </c>
      <c r="B165" s="606"/>
      <c r="C165" s="607"/>
      <c r="D165" s="620" t="s">
        <v>207</v>
      </c>
      <c r="E165" s="606"/>
      <c r="F165" s="606"/>
      <c r="G165" s="606"/>
      <c r="H165" s="606"/>
      <c r="I165" s="606"/>
      <c r="J165" s="607"/>
      <c r="K165" s="62" t="s">
        <v>208</v>
      </c>
    </row>
    <row r="166" spans="1:11" ht="15" customHeight="1">
      <c r="A166" s="88"/>
      <c r="B166" s="89"/>
      <c r="C166" s="90"/>
      <c r="D166" s="610" t="s">
        <v>320</v>
      </c>
      <c r="E166" s="611"/>
      <c r="F166" s="611"/>
      <c r="G166" s="611"/>
      <c r="H166" s="611"/>
      <c r="I166" s="611"/>
      <c r="J166" s="57" t="s">
        <v>321</v>
      </c>
      <c r="K166" s="93"/>
    </row>
    <row r="167" spans="1:11" s="56" customFormat="1" ht="15" customHeight="1">
      <c r="A167" s="612">
        <v>0.83333333333333337</v>
      </c>
      <c r="B167" s="602"/>
      <c r="C167" s="603"/>
      <c r="D167" s="613" t="s">
        <v>236</v>
      </c>
      <c r="E167" s="602"/>
      <c r="F167" s="602"/>
      <c r="G167" s="602"/>
      <c r="H167" s="602"/>
      <c r="I167" s="602"/>
      <c r="J167" s="603"/>
      <c r="K167" s="59"/>
    </row>
    <row r="168" spans="1:11" ht="15" customHeight="1">
      <c r="A168" s="601">
        <v>0.85416666666666663</v>
      </c>
      <c r="B168" s="602"/>
      <c r="C168" s="603"/>
      <c r="D168" s="79" t="s">
        <v>211</v>
      </c>
      <c r="E168" s="75"/>
      <c r="F168" s="75"/>
      <c r="G168" s="75"/>
      <c r="H168" s="75"/>
      <c r="I168" s="75"/>
      <c r="J168" s="83"/>
      <c r="K168" s="53"/>
    </row>
    <row r="169" spans="1:11" ht="15" customHeight="1">
      <c r="A169" s="601"/>
      <c r="B169" s="602"/>
      <c r="C169" s="603"/>
      <c r="D169" s="97" t="s">
        <v>318</v>
      </c>
      <c r="E169" s="98"/>
      <c r="F169" s="98"/>
      <c r="G169" s="98"/>
      <c r="H169" s="98"/>
      <c r="I169" s="99"/>
      <c r="J169" s="57" t="s">
        <v>319</v>
      </c>
      <c r="K169" s="53"/>
    </row>
    <row r="170" spans="1:11" ht="15" customHeight="1">
      <c r="A170" s="96">
        <f>A160+1</f>
        <v>11</v>
      </c>
      <c r="B170" s="614">
        <f>B160+1</f>
        <v>46198</v>
      </c>
      <c r="C170" s="603"/>
      <c r="D170" s="615" t="s">
        <v>322</v>
      </c>
      <c r="E170" s="602"/>
      <c r="F170" s="602"/>
      <c r="G170" s="602"/>
      <c r="H170" s="602"/>
      <c r="I170" s="602"/>
      <c r="J170" s="603"/>
      <c r="K170" s="74"/>
    </row>
    <row r="171" spans="1:11" ht="15" customHeight="1">
      <c r="A171" s="601" t="s">
        <v>323</v>
      </c>
      <c r="B171" s="602"/>
      <c r="C171" s="603"/>
      <c r="D171" s="604" t="s">
        <v>217</v>
      </c>
      <c r="E171" s="602"/>
      <c r="F171" s="602"/>
      <c r="G171" s="602"/>
      <c r="H171" s="602"/>
      <c r="I171" s="602"/>
      <c r="J171" s="603"/>
      <c r="K171" s="53" t="s">
        <v>218</v>
      </c>
    </row>
    <row r="172" spans="1:11" ht="15" customHeight="1">
      <c r="A172" s="605">
        <v>0.30208333333333331</v>
      </c>
      <c r="B172" s="606"/>
      <c r="C172" s="607"/>
      <c r="D172" s="608" t="s">
        <v>324</v>
      </c>
      <c r="E172" s="606"/>
      <c r="F172" s="606"/>
      <c r="G172" s="606"/>
      <c r="H172" s="606"/>
      <c r="I172" s="606"/>
      <c r="J172" s="607"/>
      <c r="K172" s="62" t="s">
        <v>325</v>
      </c>
    </row>
    <row r="173" spans="1:11" ht="15" customHeight="1">
      <c r="A173" s="601">
        <v>0.34375</v>
      </c>
      <c r="B173" s="602"/>
      <c r="C173" s="603"/>
      <c r="D173" s="609" t="s">
        <v>114</v>
      </c>
      <c r="E173" s="602"/>
      <c r="F173" s="602"/>
      <c r="G173" s="602"/>
      <c r="H173" s="602"/>
      <c r="I173" s="602"/>
      <c r="J173" s="603"/>
      <c r="K173" s="53" t="s">
        <v>326</v>
      </c>
    </row>
    <row r="174" spans="1:11" ht="16.25" customHeight="1">
      <c r="J174" s="100"/>
    </row>
    <row r="175" spans="1:11" s="71" customFormat="1" ht="20.149999999999999" customHeight="1">
      <c r="A175" s="102" t="s">
        <v>327</v>
      </c>
      <c r="B175" s="102"/>
      <c r="C175" s="102"/>
      <c r="D175" s="102"/>
      <c r="E175" s="102"/>
      <c r="F175" s="102"/>
      <c r="G175" s="102"/>
      <c r="H175" s="102"/>
      <c r="I175" s="102"/>
      <c r="J175" s="103"/>
      <c r="K175" s="104"/>
    </row>
    <row r="176" spans="1:11" s="71" customFormat="1">
      <c r="A176" s="102" t="s">
        <v>328</v>
      </c>
      <c r="B176" s="102"/>
      <c r="C176" s="102"/>
      <c r="D176" s="102"/>
      <c r="E176" s="102"/>
      <c r="F176" s="102"/>
      <c r="G176" s="102"/>
      <c r="H176" s="102"/>
      <c r="I176" s="102"/>
      <c r="J176" s="102"/>
      <c r="K176" s="104"/>
    </row>
    <row r="177" spans="1:11" s="71" customFormat="1">
      <c r="A177" s="102" t="s">
        <v>329</v>
      </c>
      <c r="B177" s="102"/>
      <c r="C177" s="102"/>
      <c r="D177" s="102"/>
      <c r="E177" s="102"/>
      <c r="F177" s="102"/>
      <c r="G177" s="102"/>
      <c r="H177" s="102"/>
      <c r="I177" s="102"/>
      <c r="J177" s="102"/>
      <c r="K177" s="104"/>
    </row>
    <row r="178" spans="1:11" s="71" customFormat="1" ht="15" customHeight="1">
      <c r="A178" s="102"/>
      <c r="B178" s="102"/>
      <c r="C178" s="102"/>
      <c r="D178" s="102"/>
      <c r="E178" s="102"/>
      <c r="F178" s="102"/>
      <c r="G178" s="102"/>
      <c r="H178" s="102"/>
      <c r="I178" s="102"/>
      <c r="J178" s="102"/>
      <c r="K178" s="104"/>
    </row>
    <row r="179" spans="1:11" s="71" customFormat="1" ht="35.15" customHeight="1">
      <c r="A179" s="599" t="s">
        <v>54</v>
      </c>
      <c r="B179" s="600"/>
      <c r="C179" s="600"/>
      <c r="D179" s="600"/>
      <c r="E179" s="600"/>
      <c r="F179" s="600"/>
      <c r="G179" s="600"/>
      <c r="H179" s="600"/>
      <c r="I179" s="600"/>
      <c r="J179" s="600"/>
      <c r="K179" s="600"/>
    </row>
    <row r="180" spans="1:11" s="71" customFormat="1" ht="35.15" customHeight="1">
      <c r="A180" s="599" t="s">
        <v>330</v>
      </c>
      <c r="B180" s="600"/>
      <c r="C180" s="600"/>
      <c r="D180" s="600"/>
      <c r="E180" s="600"/>
      <c r="F180" s="600"/>
      <c r="G180" s="600"/>
      <c r="H180" s="600"/>
      <c r="I180" s="600"/>
      <c r="J180" s="600"/>
      <c r="K180" s="600"/>
    </row>
    <row r="181" spans="1:11" s="71" customFormat="1" ht="16.25" customHeight="1">
      <c r="A181" s="599" t="s">
        <v>55</v>
      </c>
      <c r="B181" s="600"/>
      <c r="C181" s="600"/>
      <c r="D181" s="600"/>
      <c r="E181" s="600"/>
      <c r="F181" s="600"/>
      <c r="G181" s="600"/>
      <c r="H181" s="600"/>
      <c r="I181" s="600"/>
      <c r="J181" s="600"/>
      <c r="K181" s="600"/>
    </row>
    <row r="182" spans="1:11" s="71" customFormat="1" ht="35.15" customHeight="1">
      <c r="A182" s="599" t="s">
        <v>331</v>
      </c>
      <c r="B182" s="600"/>
      <c r="C182" s="600"/>
      <c r="D182" s="600"/>
      <c r="E182" s="600"/>
      <c r="F182" s="600"/>
      <c r="G182" s="600"/>
      <c r="H182" s="600"/>
      <c r="I182" s="600"/>
      <c r="J182" s="600"/>
      <c r="K182" s="600"/>
    </row>
    <row r="183" spans="1:11" s="71" customFormat="1" ht="35.15" customHeight="1">
      <c r="A183" s="599" t="s">
        <v>56</v>
      </c>
      <c r="B183" s="600"/>
      <c r="C183" s="600"/>
      <c r="D183" s="600"/>
      <c r="E183" s="600"/>
      <c r="F183" s="600"/>
      <c r="G183" s="600"/>
      <c r="H183" s="600"/>
      <c r="I183" s="600"/>
      <c r="J183" s="600"/>
      <c r="K183" s="600"/>
    </row>
    <row r="184" spans="1:11" s="71" customFormat="1" ht="80.150000000000006" customHeight="1">
      <c r="A184" s="599" t="s">
        <v>57</v>
      </c>
      <c r="B184" s="600"/>
      <c r="C184" s="600"/>
      <c r="D184" s="600"/>
      <c r="E184" s="600"/>
      <c r="F184" s="600"/>
      <c r="G184" s="600"/>
      <c r="H184" s="600"/>
      <c r="I184" s="600"/>
      <c r="J184" s="600"/>
      <c r="K184" s="600"/>
    </row>
  </sheetData>
  <mergeCells count="303">
    <mergeCell ref="A12:C12"/>
    <mergeCell ref="D12:J12"/>
    <mergeCell ref="A13:C13"/>
    <mergeCell ref="D13:J13"/>
    <mergeCell ref="A14:C14"/>
    <mergeCell ref="D14:J14"/>
    <mergeCell ref="D5:E5"/>
    <mergeCell ref="F5:H5"/>
    <mergeCell ref="J5:K5"/>
    <mergeCell ref="A10:K10"/>
    <mergeCell ref="B11:C11"/>
    <mergeCell ref="D11:J11"/>
    <mergeCell ref="A18:C18"/>
    <mergeCell ref="D18:J18"/>
    <mergeCell ref="A19:C19"/>
    <mergeCell ref="D19:J19"/>
    <mergeCell ref="A20:C20"/>
    <mergeCell ref="D20:J20"/>
    <mergeCell ref="A15:C15"/>
    <mergeCell ref="D15:I15"/>
    <mergeCell ref="A16:C16"/>
    <mergeCell ref="D16:J16"/>
    <mergeCell ref="A17:C17"/>
    <mergeCell ref="D17:J17"/>
    <mergeCell ref="A25:C25"/>
    <mergeCell ref="D25:H25"/>
    <mergeCell ref="I25:J25"/>
    <mergeCell ref="A26:C26"/>
    <mergeCell ref="D26:I26"/>
    <mergeCell ref="B27:C27"/>
    <mergeCell ref="D27:J27"/>
    <mergeCell ref="A21:C21"/>
    <mergeCell ref="D21:J21"/>
    <mergeCell ref="A22:C22"/>
    <mergeCell ref="D22:J22"/>
    <mergeCell ref="A23:C23"/>
    <mergeCell ref="D23:J23"/>
    <mergeCell ref="A31:C31"/>
    <mergeCell ref="A32:C32"/>
    <mergeCell ref="D32:J32"/>
    <mergeCell ref="A33:C33"/>
    <mergeCell ref="A34:C34"/>
    <mergeCell ref="D34:J34"/>
    <mergeCell ref="A28:C28"/>
    <mergeCell ref="D28:J28"/>
    <mergeCell ref="A29:C29"/>
    <mergeCell ref="D29:J29"/>
    <mergeCell ref="A30:C30"/>
    <mergeCell ref="D30:J30"/>
    <mergeCell ref="A38:C38"/>
    <mergeCell ref="D38:J38"/>
    <mergeCell ref="A39:C39"/>
    <mergeCell ref="D39:J39"/>
    <mergeCell ref="A40:C40"/>
    <mergeCell ref="A41:C41"/>
    <mergeCell ref="D41:J41"/>
    <mergeCell ref="A35:C35"/>
    <mergeCell ref="D35:H35"/>
    <mergeCell ref="A36:C36"/>
    <mergeCell ref="D36:I36"/>
    <mergeCell ref="A37:C37"/>
    <mergeCell ref="D37:J37"/>
    <mergeCell ref="A45:C45"/>
    <mergeCell ref="D45:H45"/>
    <mergeCell ref="I45:J45"/>
    <mergeCell ref="A46:C46"/>
    <mergeCell ref="D46:I46"/>
    <mergeCell ref="B47:C47"/>
    <mergeCell ref="D47:J47"/>
    <mergeCell ref="A42:C42"/>
    <mergeCell ref="D42:H42"/>
    <mergeCell ref="A43:C43"/>
    <mergeCell ref="D43:I43"/>
    <mergeCell ref="A44:C44"/>
    <mergeCell ref="D44:J44"/>
    <mergeCell ref="A51:C51"/>
    <mergeCell ref="D51:J51"/>
    <mergeCell ref="A52:C52"/>
    <mergeCell ref="D52:I52"/>
    <mergeCell ref="A53:C53"/>
    <mergeCell ref="D53:H53"/>
    <mergeCell ref="A48:C48"/>
    <mergeCell ref="D48:J48"/>
    <mergeCell ref="A49:C49"/>
    <mergeCell ref="D49:J49"/>
    <mergeCell ref="A50:C50"/>
    <mergeCell ref="D50:J50"/>
    <mergeCell ref="A58:C58"/>
    <mergeCell ref="D58:J58"/>
    <mergeCell ref="A59:C59"/>
    <mergeCell ref="D59:I59"/>
    <mergeCell ref="A60:C60"/>
    <mergeCell ref="D60:J60"/>
    <mergeCell ref="A54:C54"/>
    <mergeCell ref="A55:C55"/>
    <mergeCell ref="D55:J55"/>
    <mergeCell ref="A56:C56"/>
    <mergeCell ref="D56:J56"/>
    <mergeCell ref="A57:C57"/>
    <mergeCell ref="D57:J57"/>
    <mergeCell ref="A65:C65"/>
    <mergeCell ref="B66:C66"/>
    <mergeCell ref="A67:C67"/>
    <mergeCell ref="D67:J67"/>
    <mergeCell ref="A68:C68"/>
    <mergeCell ref="D68:J68"/>
    <mergeCell ref="A61:C61"/>
    <mergeCell ref="D61:J61"/>
    <mergeCell ref="A62:C62"/>
    <mergeCell ref="A63:C63"/>
    <mergeCell ref="D63:J63"/>
    <mergeCell ref="A64:C64"/>
    <mergeCell ref="D64:H64"/>
    <mergeCell ref="I64:J64"/>
    <mergeCell ref="A73:C73"/>
    <mergeCell ref="D73:J73"/>
    <mergeCell ref="A74:C74"/>
    <mergeCell ref="I74:J74"/>
    <mergeCell ref="A75:C75"/>
    <mergeCell ref="B76:C76"/>
    <mergeCell ref="D76:J76"/>
    <mergeCell ref="A69:C69"/>
    <mergeCell ref="D69:J69"/>
    <mergeCell ref="A70:C70"/>
    <mergeCell ref="D70:J70"/>
    <mergeCell ref="A71:C71"/>
    <mergeCell ref="D71:J71"/>
    <mergeCell ref="A80:C80"/>
    <mergeCell ref="D80:J80"/>
    <mergeCell ref="A81:C81"/>
    <mergeCell ref="D81:J81"/>
    <mergeCell ref="A82:C82"/>
    <mergeCell ref="D82:J82"/>
    <mergeCell ref="A77:C77"/>
    <mergeCell ref="D77:J77"/>
    <mergeCell ref="A78:C78"/>
    <mergeCell ref="D78:J78"/>
    <mergeCell ref="A79:C79"/>
    <mergeCell ref="D79:J79"/>
    <mergeCell ref="A87:C87"/>
    <mergeCell ref="D87:J87"/>
    <mergeCell ref="A88:C88"/>
    <mergeCell ref="D88:J88"/>
    <mergeCell ref="A89:C89"/>
    <mergeCell ref="D89:J89"/>
    <mergeCell ref="A83:C83"/>
    <mergeCell ref="D83:J83"/>
    <mergeCell ref="A84:C84"/>
    <mergeCell ref="D84:J84"/>
    <mergeCell ref="A86:C86"/>
    <mergeCell ref="D86:J86"/>
    <mergeCell ref="A95:C95"/>
    <mergeCell ref="D95:J95"/>
    <mergeCell ref="A96:C96"/>
    <mergeCell ref="D96:J96"/>
    <mergeCell ref="A97:C97"/>
    <mergeCell ref="D97:J97"/>
    <mergeCell ref="A91:C91"/>
    <mergeCell ref="D91:J91"/>
    <mergeCell ref="A92:C92"/>
    <mergeCell ref="I92:J92"/>
    <mergeCell ref="A93:C93"/>
    <mergeCell ref="B94:C94"/>
    <mergeCell ref="D94:J94"/>
    <mergeCell ref="A102:C102"/>
    <mergeCell ref="D102:J102"/>
    <mergeCell ref="A103:C103"/>
    <mergeCell ref="D103:J103"/>
    <mergeCell ref="A104:C104"/>
    <mergeCell ref="D104:J104"/>
    <mergeCell ref="A98:C98"/>
    <mergeCell ref="D98:J98"/>
    <mergeCell ref="A99:C99"/>
    <mergeCell ref="D99:J99"/>
    <mergeCell ref="A101:C101"/>
    <mergeCell ref="D101:J101"/>
    <mergeCell ref="A110:C110"/>
    <mergeCell ref="D110:J110"/>
    <mergeCell ref="A111:C111"/>
    <mergeCell ref="D111:J111"/>
    <mergeCell ref="A112:C112"/>
    <mergeCell ref="D112:J112"/>
    <mergeCell ref="A106:C106"/>
    <mergeCell ref="D106:J106"/>
    <mergeCell ref="A107:C107"/>
    <mergeCell ref="I107:J107"/>
    <mergeCell ref="A108:C108"/>
    <mergeCell ref="B109:C109"/>
    <mergeCell ref="D109:J109"/>
    <mergeCell ref="A116:C116"/>
    <mergeCell ref="A117:C117"/>
    <mergeCell ref="D117:J117"/>
    <mergeCell ref="A118:C118"/>
    <mergeCell ref="D118:J118"/>
    <mergeCell ref="A119:C119"/>
    <mergeCell ref="D119:J119"/>
    <mergeCell ref="A113:C113"/>
    <mergeCell ref="D113:J113"/>
    <mergeCell ref="A114:C114"/>
    <mergeCell ref="D114:J114"/>
    <mergeCell ref="A115:C115"/>
    <mergeCell ref="D115:J115"/>
    <mergeCell ref="A123:C123"/>
    <mergeCell ref="D123:J123"/>
    <mergeCell ref="A125:C125"/>
    <mergeCell ref="D125:J125"/>
    <mergeCell ref="A126:C126"/>
    <mergeCell ref="I126:J126"/>
    <mergeCell ref="A120:C120"/>
    <mergeCell ref="D120:J120"/>
    <mergeCell ref="A121:C121"/>
    <mergeCell ref="D121:J121"/>
    <mergeCell ref="A122:C122"/>
    <mergeCell ref="D122:J122"/>
    <mergeCell ref="A131:C131"/>
    <mergeCell ref="D131:J131"/>
    <mergeCell ref="A132:C132"/>
    <mergeCell ref="D132:J132"/>
    <mergeCell ref="A133:C133"/>
    <mergeCell ref="D133:J133"/>
    <mergeCell ref="A127:C127"/>
    <mergeCell ref="B128:C128"/>
    <mergeCell ref="D128:J128"/>
    <mergeCell ref="A129:C129"/>
    <mergeCell ref="D129:J129"/>
    <mergeCell ref="A130:C130"/>
    <mergeCell ref="D130:J130"/>
    <mergeCell ref="A138:C138"/>
    <mergeCell ref="D138:J138"/>
    <mergeCell ref="A139:C139"/>
    <mergeCell ref="D139:J139"/>
    <mergeCell ref="A140:C140"/>
    <mergeCell ref="D140:J140"/>
    <mergeCell ref="A134:C134"/>
    <mergeCell ref="A135:C135"/>
    <mergeCell ref="D135:J135"/>
    <mergeCell ref="A136:C136"/>
    <mergeCell ref="D136:J136"/>
    <mergeCell ref="A137:C137"/>
    <mergeCell ref="D137:J137"/>
    <mergeCell ref="A146:C146"/>
    <mergeCell ref="D146:J146"/>
    <mergeCell ref="A147:C147"/>
    <mergeCell ref="D147:J147"/>
    <mergeCell ref="A148:C148"/>
    <mergeCell ref="D148:J148"/>
    <mergeCell ref="A141:C141"/>
    <mergeCell ref="A142:C142"/>
    <mergeCell ref="D142:J142"/>
    <mergeCell ref="A143:C143"/>
    <mergeCell ref="D144:H144"/>
    <mergeCell ref="B145:C145"/>
    <mergeCell ref="D145:J145"/>
    <mergeCell ref="A153:C153"/>
    <mergeCell ref="D153:J153"/>
    <mergeCell ref="A154:C154"/>
    <mergeCell ref="D154:J154"/>
    <mergeCell ref="A155:C155"/>
    <mergeCell ref="D155:J155"/>
    <mergeCell ref="A149:C149"/>
    <mergeCell ref="D149:J149"/>
    <mergeCell ref="A150:C150"/>
    <mergeCell ref="D150:J150"/>
    <mergeCell ref="A151:C151"/>
    <mergeCell ref="A152:C152"/>
    <mergeCell ref="D152:J152"/>
    <mergeCell ref="B160:C160"/>
    <mergeCell ref="D160:J160"/>
    <mergeCell ref="A161:C161"/>
    <mergeCell ref="D161:J161"/>
    <mergeCell ref="A162:C162"/>
    <mergeCell ref="D162:J162"/>
    <mergeCell ref="A156:C156"/>
    <mergeCell ref="D156:I156"/>
    <mergeCell ref="A157:C157"/>
    <mergeCell ref="D157:J157"/>
    <mergeCell ref="A158:C158"/>
    <mergeCell ref="A159:C159"/>
    <mergeCell ref="D166:I166"/>
    <mergeCell ref="A167:C167"/>
    <mergeCell ref="D167:J167"/>
    <mergeCell ref="A168:C168"/>
    <mergeCell ref="A169:C169"/>
    <mergeCell ref="B170:C170"/>
    <mergeCell ref="D170:J170"/>
    <mergeCell ref="A163:C163"/>
    <mergeCell ref="D163:J163"/>
    <mergeCell ref="A164:C164"/>
    <mergeCell ref="D164:J164"/>
    <mergeCell ref="A165:C165"/>
    <mergeCell ref="D165:J165"/>
    <mergeCell ref="A179:K179"/>
    <mergeCell ref="A180:K180"/>
    <mergeCell ref="A181:K181"/>
    <mergeCell ref="A182:K182"/>
    <mergeCell ref="A183:K183"/>
    <mergeCell ref="A184:K184"/>
    <mergeCell ref="A171:C171"/>
    <mergeCell ref="D171:J171"/>
    <mergeCell ref="A172:C172"/>
    <mergeCell ref="D172:J172"/>
    <mergeCell ref="A173:C173"/>
    <mergeCell ref="D173:J173"/>
  </mergeCells>
  <phoneticPr fontId="3"/>
  <hyperlinks>
    <hyperlink ref="J151" r:id="rId1" xr:uid="{6CCB3C71-2F7E-4E08-B942-AA1A2691B217}"/>
  </hyperlinks>
  <pageMargins left="0.31496062992125978" right="0.31496062992125978" top="1.9685039370078741" bottom="0.31496062992125978" header="0.59055118110236227" footer="0"/>
  <pageSetup paperSize="9" scale="99" fitToHeight="0" orientation="portrait" r:id="rId2"/>
  <headerFooter>
    <oddHeader>&amp;C&amp;G&amp;R&amp;"游ゴシック,斜体"　&amp;"Tahoma,斜体"+81-3-6869-5550&amp;"-,標準"KIC Co. Ltd.(KIC TRAVEL)
Licence No.Tokyo 2-8040 
Marusei Building 3F, 13-14, Nishikasai,
Edogawa-ku,Tokyo, Japan 134-0088
Tel: +81-3-6868-5545
Print out : &amp;D &amp;T</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7762A-93D2-4E84-B469-4B7CA8945EF0}">
  <sheetPr>
    <pageSetUpPr fitToPage="1"/>
  </sheetPr>
  <dimension ref="A1:AI85"/>
  <sheetViews>
    <sheetView tabSelected="1" zoomScale="137" zoomScaleNormal="64" workbookViewId="0">
      <selection activeCell="O53" sqref="O53:Q58"/>
    </sheetView>
  </sheetViews>
  <sheetFormatPr defaultRowHeight="18"/>
  <cols>
    <col min="1" max="1" width="3.4140625" customWidth="1"/>
    <col min="2" max="2" width="8.4140625" customWidth="1"/>
    <col min="3" max="3" width="6.4140625" customWidth="1"/>
    <col min="4" max="4" width="2.4140625" customWidth="1"/>
    <col min="5" max="14" width="6.58203125" customWidth="1"/>
    <col min="15" max="17" width="5.4140625" customWidth="1"/>
    <col min="18" max="18" width="6.4140625" customWidth="1"/>
    <col min="19" max="23" width="5.4140625" customWidth="1"/>
    <col min="24" max="25" width="6.4140625" customWidth="1"/>
    <col min="26" max="28" width="7.4140625" customWidth="1"/>
    <col min="29" max="30" width="3.4140625" customWidth="1"/>
    <col min="31" max="31" width="21.4140625" customWidth="1"/>
    <col min="32" max="32" width="8.6640625" style="3"/>
    <col min="33" max="33" width="24.75" style="3" customWidth="1"/>
    <col min="34" max="34" width="75.25" style="3" customWidth="1"/>
    <col min="35" max="35" width="18.6640625" style="3" customWidth="1"/>
  </cols>
  <sheetData>
    <row r="1" spans="1:35" ht="18" customHeight="1">
      <c r="A1" s="139" t="s">
        <v>0</v>
      </c>
      <c r="B1" s="140"/>
      <c r="C1" s="140"/>
      <c r="D1" s="140"/>
      <c r="E1" s="140"/>
      <c r="F1" s="141"/>
      <c r="G1" s="142" t="s">
        <v>1</v>
      </c>
      <c r="H1" s="140"/>
      <c r="I1" s="140"/>
      <c r="J1" s="140"/>
      <c r="K1" s="140"/>
      <c r="L1" s="140"/>
      <c r="M1" s="140"/>
      <c r="N1" s="140"/>
      <c r="O1" s="139" t="s">
        <v>2</v>
      </c>
      <c r="P1" s="140"/>
      <c r="Q1" s="141"/>
      <c r="R1" s="143" t="s">
        <v>3</v>
      </c>
      <c r="S1" s="143"/>
      <c r="T1" s="143"/>
      <c r="U1" s="143"/>
      <c r="V1" s="143"/>
      <c r="W1" s="143"/>
      <c r="X1" s="143"/>
      <c r="Y1" s="143"/>
      <c r="Z1" s="143" t="s">
        <v>4</v>
      </c>
      <c r="AA1" s="143"/>
      <c r="AB1" s="143"/>
      <c r="AC1" s="143"/>
      <c r="AD1" s="143"/>
      <c r="AE1" s="143"/>
    </row>
    <row r="2" spans="1:35" ht="8.15" customHeight="1">
      <c r="A2" s="144" t="s">
        <v>154</v>
      </c>
      <c r="B2" s="145"/>
      <c r="C2" s="145"/>
      <c r="D2" s="145"/>
      <c r="E2" s="145"/>
      <c r="F2" s="146"/>
      <c r="G2" s="147" t="s">
        <v>5</v>
      </c>
      <c r="H2" s="148"/>
      <c r="I2" s="148"/>
      <c r="J2" s="148"/>
      <c r="K2" s="148"/>
      <c r="L2" s="148"/>
      <c r="M2" s="148"/>
      <c r="N2" s="149"/>
      <c r="O2" s="153" t="s">
        <v>168</v>
      </c>
      <c r="P2" s="154"/>
      <c r="Q2" s="155"/>
      <c r="R2" s="162" t="s">
        <v>6</v>
      </c>
      <c r="S2" s="165" t="s">
        <v>157</v>
      </c>
      <c r="T2" s="166"/>
      <c r="U2" s="166"/>
      <c r="V2" s="166"/>
      <c r="W2" s="166"/>
      <c r="X2" s="166"/>
      <c r="Y2" s="167"/>
      <c r="Z2" s="184" t="s">
        <v>162</v>
      </c>
      <c r="AA2" s="185"/>
      <c r="AB2" s="185"/>
      <c r="AC2" s="185"/>
      <c r="AD2" s="185"/>
      <c r="AE2" s="186"/>
    </row>
    <row r="3" spans="1:35" ht="8.15" customHeight="1">
      <c r="A3" s="144"/>
      <c r="B3" s="145"/>
      <c r="C3" s="145"/>
      <c r="D3" s="145"/>
      <c r="E3" s="145"/>
      <c r="F3" s="146"/>
      <c r="G3" s="150"/>
      <c r="H3" s="151"/>
      <c r="I3" s="151"/>
      <c r="J3" s="151"/>
      <c r="K3" s="151"/>
      <c r="L3" s="151"/>
      <c r="M3" s="151"/>
      <c r="N3" s="152"/>
      <c r="O3" s="156"/>
      <c r="P3" s="157"/>
      <c r="Q3" s="158"/>
      <c r="R3" s="163"/>
      <c r="S3" s="168"/>
      <c r="T3" s="168"/>
      <c r="U3" s="168"/>
      <c r="V3" s="168"/>
      <c r="W3" s="168"/>
      <c r="X3" s="168"/>
      <c r="Y3" s="169"/>
      <c r="Z3" s="187"/>
      <c r="AA3" s="188"/>
      <c r="AB3" s="188"/>
      <c r="AC3" s="188"/>
      <c r="AD3" s="188"/>
      <c r="AE3" s="189"/>
    </row>
    <row r="4" spans="1:35" ht="8.15" customHeight="1">
      <c r="A4" s="144"/>
      <c r="B4" s="145"/>
      <c r="C4" s="145"/>
      <c r="D4" s="145"/>
      <c r="E4" s="145"/>
      <c r="F4" s="146"/>
      <c r="G4" s="150"/>
      <c r="H4" s="151"/>
      <c r="I4" s="151"/>
      <c r="J4" s="151"/>
      <c r="K4" s="151"/>
      <c r="L4" s="151"/>
      <c r="M4" s="151"/>
      <c r="N4" s="152"/>
      <c r="O4" s="156"/>
      <c r="P4" s="157"/>
      <c r="Q4" s="158"/>
      <c r="R4" s="163"/>
      <c r="S4" s="168"/>
      <c r="T4" s="168"/>
      <c r="U4" s="168"/>
      <c r="V4" s="168"/>
      <c r="W4" s="168"/>
      <c r="X4" s="168"/>
      <c r="Y4" s="169"/>
      <c r="Z4" s="187"/>
      <c r="AA4" s="188"/>
      <c r="AB4" s="188"/>
      <c r="AC4" s="188"/>
      <c r="AD4" s="188"/>
      <c r="AE4" s="189"/>
    </row>
    <row r="5" spans="1:35" ht="8.15" customHeight="1">
      <c r="A5" s="144"/>
      <c r="B5" s="145"/>
      <c r="C5" s="145"/>
      <c r="D5" s="145"/>
      <c r="E5" s="145"/>
      <c r="F5" s="146"/>
      <c r="G5" s="193" t="s">
        <v>7</v>
      </c>
      <c r="H5" s="194"/>
      <c r="I5" s="194"/>
      <c r="J5" s="194"/>
      <c r="K5" s="194"/>
      <c r="L5" s="194"/>
      <c r="M5" s="194"/>
      <c r="N5" s="195"/>
      <c r="O5" s="156"/>
      <c r="P5" s="157"/>
      <c r="Q5" s="158"/>
      <c r="R5" s="164"/>
      <c r="S5" s="170"/>
      <c r="T5" s="170"/>
      <c r="U5" s="170"/>
      <c r="V5" s="170"/>
      <c r="W5" s="170"/>
      <c r="X5" s="170"/>
      <c r="Y5" s="171"/>
      <c r="Z5" s="187"/>
      <c r="AA5" s="188"/>
      <c r="AB5" s="188"/>
      <c r="AC5" s="188"/>
      <c r="AD5" s="188"/>
      <c r="AE5" s="189"/>
    </row>
    <row r="6" spans="1:35" ht="8.15" customHeight="1">
      <c r="A6" s="144"/>
      <c r="B6" s="145"/>
      <c r="C6" s="145"/>
      <c r="D6" s="145"/>
      <c r="E6" s="145"/>
      <c r="F6" s="146"/>
      <c r="G6" s="193"/>
      <c r="H6" s="194"/>
      <c r="I6" s="194"/>
      <c r="J6" s="194"/>
      <c r="K6" s="194"/>
      <c r="L6" s="194"/>
      <c r="M6" s="194"/>
      <c r="N6" s="195"/>
      <c r="O6" s="156"/>
      <c r="P6" s="157"/>
      <c r="Q6" s="158"/>
      <c r="R6" s="162" t="s">
        <v>8</v>
      </c>
      <c r="S6" s="165" t="s">
        <v>158</v>
      </c>
      <c r="T6" s="166"/>
      <c r="U6" s="166"/>
      <c r="V6" s="166"/>
      <c r="W6" s="166"/>
      <c r="X6" s="166"/>
      <c r="Y6" s="167"/>
      <c r="Z6" s="190"/>
      <c r="AA6" s="191"/>
      <c r="AB6" s="191"/>
      <c r="AC6" s="191"/>
      <c r="AD6" s="191"/>
      <c r="AE6" s="192"/>
    </row>
    <row r="7" spans="1:35" ht="8.15" customHeight="1">
      <c r="A7" s="144"/>
      <c r="B7" s="145"/>
      <c r="C7" s="145"/>
      <c r="D7" s="145"/>
      <c r="E7" s="145"/>
      <c r="F7" s="146"/>
      <c r="G7" s="193"/>
      <c r="H7" s="194"/>
      <c r="I7" s="194"/>
      <c r="J7" s="194"/>
      <c r="K7" s="194"/>
      <c r="L7" s="194"/>
      <c r="M7" s="194"/>
      <c r="N7" s="195"/>
      <c r="O7" s="156"/>
      <c r="P7" s="157"/>
      <c r="Q7" s="158"/>
      <c r="R7" s="163"/>
      <c r="S7" s="168"/>
      <c r="T7" s="168"/>
      <c r="U7" s="168"/>
      <c r="V7" s="168"/>
      <c r="W7" s="168"/>
      <c r="X7" s="168"/>
      <c r="Y7" s="169"/>
      <c r="Z7" s="199" t="s">
        <v>163</v>
      </c>
      <c r="AA7" s="200"/>
      <c r="AB7" s="200"/>
      <c r="AC7" s="200"/>
      <c r="AD7" s="200"/>
      <c r="AE7" s="201"/>
    </row>
    <row r="8" spans="1:35" ht="8.15" customHeight="1">
      <c r="A8" s="144"/>
      <c r="B8" s="145"/>
      <c r="C8" s="145"/>
      <c r="D8" s="145"/>
      <c r="E8" s="145"/>
      <c r="F8" s="146"/>
      <c r="G8" s="193"/>
      <c r="H8" s="194"/>
      <c r="I8" s="194"/>
      <c r="J8" s="194"/>
      <c r="K8" s="194"/>
      <c r="L8" s="194"/>
      <c r="M8" s="194"/>
      <c r="N8" s="195"/>
      <c r="O8" s="156"/>
      <c r="P8" s="157"/>
      <c r="Q8" s="158"/>
      <c r="R8" s="163"/>
      <c r="S8" s="168"/>
      <c r="T8" s="168"/>
      <c r="U8" s="168"/>
      <c r="V8" s="168"/>
      <c r="W8" s="168"/>
      <c r="X8" s="168"/>
      <c r="Y8" s="169"/>
      <c r="Z8" s="187"/>
      <c r="AA8" s="188"/>
      <c r="AB8" s="188"/>
      <c r="AC8" s="188"/>
      <c r="AD8" s="188"/>
      <c r="AE8" s="189"/>
      <c r="AF8" s="205"/>
      <c r="AG8" s="172" t="str">
        <f>A2</f>
        <v>KIC0852_KK</v>
      </c>
      <c r="AH8" s="173" t="s">
        <v>29</v>
      </c>
    </row>
    <row r="9" spans="1:35" ht="8.15" customHeight="1">
      <c r="A9" s="144"/>
      <c r="B9" s="145"/>
      <c r="C9" s="145"/>
      <c r="D9" s="145"/>
      <c r="E9" s="145"/>
      <c r="F9" s="146"/>
      <c r="G9" s="196"/>
      <c r="H9" s="197"/>
      <c r="I9" s="197"/>
      <c r="J9" s="197"/>
      <c r="K9" s="197"/>
      <c r="L9" s="197"/>
      <c r="M9" s="197"/>
      <c r="N9" s="198"/>
      <c r="O9" s="159"/>
      <c r="P9" s="160"/>
      <c r="Q9" s="161"/>
      <c r="R9" s="164"/>
      <c r="S9" s="170"/>
      <c r="T9" s="170"/>
      <c r="U9" s="170"/>
      <c r="V9" s="170"/>
      <c r="W9" s="170"/>
      <c r="X9" s="170"/>
      <c r="Y9" s="171"/>
      <c r="Z9" s="202"/>
      <c r="AA9" s="203"/>
      <c r="AB9" s="203"/>
      <c r="AC9" s="203"/>
      <c r="AD9" s="203"/>
      <c r="AE9" s="204"/>
      <c r="AF9" s="206"/>
      <c r="AG9" s="172"/>
      <c r="AH9" s="173"/>
    </row>
    <row r="10" spans="1:35">
      <c r="A10" s="174" t="s">
        <v>9</v>
      </c>
      <c r="B10" s="175"/>
      <c r="C10" s="176" t="s">
        <v>10</v>
      </c>
      <c r="D10" s="176"/>
      <c r="E10" s="177" t="s">
        <v>11</v>
      </c>
      <c r="F10" s="177"/>
      <c r="G10" s="178"/>
      <c r="H10" s="178"/>
      <c r="I10" s="178"/>
      <c r="J10" s="178"/>
      <c r="K10" s="178"/>
      <c r="L10" s="178"/>
      <c r="M10" s="178"/>
      <c r="N10" s="179"/>
      <c r="O10" s="180" t="s">
        <v>12</v>
      </c>
      <c r="P10" s="181"/>
      <c r="Q10" s="182"/>
      <c r="R10" s="183" t="s">
        <v>13</v>
      </c>
      <c r="S10" s="183"/>
      <c r="T10" s="183"/>
      <c r="U10" s="183"/>
      <c r="V10" s="183"/>
      <c r="W10" s="183"/>
      <c r="X10" s="183"/>
      <c r="Y10" s="175"/>
      <c r="Z10" s="143" t="s">
        <v>14</v>
      </c>
      <c r="AA10" s="143"/>
      <c r="AB10" s="143"/>
      <c r="AC10" s="143"/>
      <c r="AD10" s="143"/>
      <c r="AE10" s="143"/>
      <c r="AF10" s="4" t="s">
        <v>30</v>
      </c>
      <c r="AG10" s="5" t="s">
        <v>31</v>
      </c>
      <c r="AH10" s="5" t="s">
        <v>32</v>
      </c>
      <c r="AI10" s="5" t="s">
        <v>33</v>
      </c>
    </row>
    <row r="11" spans="1:35" ht="11.15" customHeight="1">
      <c r="A11" s="228">
        <v>1</v>
      </c>
      <c r="B11" s="232">
        <v>46188</v>
      </c>
      <c r="C11" s="233" t="s">
        <v>115</v>
      </c>
      <c r="D11" s="233"/>
      <c r="E11" s="270" t="s">
        <v>123</v>
      </c>
      <c r="F11" s="271"/>
      <c r="G11" s="271"/>
      <c r="H11" s="271"/>
      <c r="I11" s="271"/>
      <c r="J11" s="271"/>
      <c r="K11" s="271"/>
      <c r="L11" s="271"/>
      <c r="M11" s="271"/>
      <c r="N11" s="272"/>
      <c r="O11" s="279" t="s">
        <v>169</v>
      </c>
      <c r="P11" s="280"/>
      <c r="Q11" s="281"/>
      <c r="R11" s="251" t="s">
        <v>155</v>
      </c>
      <c r="S11" s="252"/>
      <c r="T11" s="252"/>
      <c r="U11" s="252"/>
      <c r="V11" s="252"/>
      <c r="W11" s="253"/>
      <c r="X11" s="260" t="s">
        <v>161</v>
      </c>
      <c r="Y11" s="260"/>
      <c r="Z11" s="220" t="s">
        <v>15</v>
      </c>
      <c r="AA11" s="221"/>
      <c r="AB11" s="222"/>
      <c r="AC11" s="223" t="s">
        <v>36</v>
      </c>
      <c r="AD11" s="224"/>
      <c r="AE11" s="225"/>
      <c r="AF11" s="226">
        <f>B11</f>
        <v>46188</v>
      </c>
      <c r="AG11" s="217" t="str">
        <f t="shared" ref="AG11" si="0">Z11</f>
        <v>B:X</v>
      </c>
      <c r="AH11" s="207"/>
      <c r="AI11" s="208">
        <f>AE11</f>
        <v>0</v>
      </c>
    </row>
    <row r="12" spans="1:35" ht="11.15" customHeight="1">
      <c r="A12" s="229"/>
      <c r="B12" s="232"/>
      <c r="C12" s="234"/>
      <c r="D12" s="234"/>
      <c r="E12" s="273"/>
      <c r="F12" s="274"/>
      <c r="G12" s="274"/>
      <c r="H12" s="274"/>
      <c r="I12" s="274"/>
      <c r="J12" s="274"/>
      <c r="K12" s="274"/>
      <c r="L12" s="274"/>
      <c r="M12" s="274"/>
      <c r="N12" s="275"/>
      <c r="O12" s="282"/>
      <c r="P12" s="283"/>
      <c r="Q12" s="284"/>
      <c r="R12" s="254"/>
      <c r="S12" s="255"/>
      <c r="T12" s="255"/>
      <c r="U12" s="255"/>
      <c r="V12" s="255"/>
      <c r="W12" s="256"/>
      <c r="X12" s="261"/>
      <c r="Y12" s="261"/>
      <c r="Z12" s="209"/>
      <c r="AA12" s="210"/>
      <c r="AB12" s="211"/>
      <c r="AC12" s="214"/>
      <c r="AD12" s="213"/>
      <c r="AE12" s="215"/>
      <c r="AF12" s="227"/>
      <c r="AG12" s="217"/>
      <c r="AH12" s="207"/>
      <c r="AI12" s="208"/>
    </row>
    <row r="13" spans="1:35" ht="11.15" customHeight="1">
      <c r="A13" s="229"/>
      <c r="B13" s="232"/>
      <c r="C13" s="234"/>
      <c r="D13" s="234"/>
      <c r="E13" s="273"/>
      <c r="F13" s="274"/>
      <c r="G13" s="274"/>
      <c r="H13" s="274"/>
      <c r="I13" s="274"/>
      <c r="J13" s="274"/>
      <c r="K13" s="274"/>
      <c r="L13" s="274"/>
      <c r="M13" s="274"/>
      <c r="N13" s="275"/>
      <c r="O13" s="282"/>
      <c r="P13" s="283"/>
      <c r="Q13" s="284"/>
      <c r="R13" s="254"/>
      <c r="S13" s="255"/>
      <c r="T13" s="255"/>
      <c r="U13" s="255"/>
      <c r="V13" s="255"/>
      <c r="W13" s="256"/>
      <c r="X13" s="261"/>
      <c r="Y13" s="261"/>
      <c r="Z13" s="209" t="s">
        <v>28</v>
      </c>
      <c r="AA13" s="210"/>
      <c r="AB13" s="211"/>
      <c r="AC13" s="212">
        <v>0.47916666666666669</v>
      </c>
      <c r="AD13" s="213"/>
      <c r="AE13" s="215" t="s">
        <v>27</v>
      </c>
      <c r="AF13" s="216"/>
      <c r="AG13" s="217" t="str">
        <f t="shared" ref="AG13" si="1">Z13</f>
        <v>L:アーンドラ大門</v>
      </c>
      <c r="AH13" s="218" t="s">
        <v>41</v>
      </c>
      <c r="AI13" s="208" t="str">
        <f t="shared" ref="AI13" si="2">AE13</f>
        <v>03-6809-2158</v>
      </c>
    </row>
    <row r="14" spans="1:35" ht="11.15" customHeight="1">
      <c r="A14" s="229"/>
      <c r="B14" s="232"/>
      <c r="C14" s="234"/>
      <c r="D14" s="234"/>
      <c r="E14" s="273"/>
      <c r="F14" s="274"/>
      <c r="G14" s="274"/>
      <c r="H14" s="274"/>
      <c r="I14" s="274"/>
      <c r="J14" s="274"/>
      <c r="K14" s="274"/>
      <c r="L14" s="274"/>
      <c r="M14" s="274"/>
      <c r="N14" s="275"/>
      <c r="O14" s="282"/>
      <c r="P14" s="283"/>
      <c r="Q14" s="284"/>
      <c r="R14" s="257"/>
      <c r="S14" s="258"/>
      <c r="T14" s="258"/>
      <c r="U14" s="258"/>
      <c r="V14" s="258"/>
      <c r="W14" s="259"/>
      <c r="X14" s="261"/>
      <c r="Y14" s="261"/>
      <c r="Z14" s="209"/>
      <c r="AA14" s="210"/>
      <c r="AB14" s="211"/>
      <c r="AC14" s="214"/>
      <c r="AD14" s="213"/>
      <c r="AE14" s="215"/>
      <c r="AF14" s="216"/>
      <c r="AG14" s="217"/>
      <c r="AH14" s="219"/>
      <c r="AI14" s="208"/>
    </row>
    <row r="15" spans="1:35" ht="11.15" customHeight="1">
      <c r="A15" s="229"/>
      <c r="B15" s="288" t="str">
        <f>TEXT(B11,"(aaa)")</f>
        <v>(月)</v>
      </c>
      <c r="C15" s="234"/>
      <c r="D15" s="234"/>
      <c r="E15" s="273"/>
      <c r="F15" s="274"/>
      <c r="G15" s="274"/>
      <c r="H15" s="274"/>
      <c r="I15" s="274"/>
      <c r="J15" s="274"/>
      <c r="K15" s="274"/>
      <c r="L15" s="274"/>
      <c r="M15" s="274"/>
      <c r="N15" s="275"/>
      <c r="O15" s="282"/>
      <c r="P15" s="283"/>
      <c r="Q15" s="284"/>
      <c r="R15" s="290" t="s">
        <v>16</v>
      </c>
      <c r="S15" s="292" t="s">
        <v>156</v>
      </c>
      <c r="T15" s="293"/>
      <c r="U15" s="293"/>
      <c r="V15" s="293"/>
      <c r="W15" s="294"/>
      <c r="X15" s="261"/>
      <c r="Y15" s="261"/>
      <c r="Z15" s="209" t="s">
        <v>23</v>
      </c>
      <c r="AA15" s="210"/>
      <c r="AB15" s="211"/>
      <c r="AC15" s="212">
        <v>0.79166666666666663</v>
      </c>
      <c r="AD15" s="213"/>
      <c r="AE15" s="215" t="s">
        <v>26</v>
      </c>
      <c r="AF15" s="216"/>
      <c r="AG15" s="217" t="str">
        <f>Z15</f>
        <v>D:モティ六本木</v>
      </c>
      <c r="AH15" s="218" t="s">
        <v>42</v>
      </c>
      <c r="AI15" s="208" t="str">
        <f t="shared" ref="AI15" si="3">AE15</f>
        <v>03-3479-1939</v>
      </c>
    </row>
    <row r="16" spans="1:35" ht="11.15" customHeight="1">
      <c r="A16" s="230"/>
      <c r="B16" s="289"/>
      <c r="C16" s="235"/>
      <c r="D16" s="235"/>
      <c r="E16" s="276"/>
      <c r="F16" s="277"/>
      <c r="G16" s="277"/>
      <c r="H16" s="277"/>
      <c r="I16" s="277"/>
      <c r="J16" s="277"/>
      <c r="K16" s="277"/>
      <c r="L16" s="277"/>
      <c r="M16" s="277"/>
      <c r="N16" s="278"/>
      <c r="O16" s="285"/>
      <c r="P16" s="286"/>
      <c r="Q16" s="287"/>
      <c r="R16" s="291"/>
      <c r="S16" s="295"/>
      <c r="T16" s="296"/>
      <c r="U16" s="296"/>
      <c r="V16" s="296"/>
      <c r="W16" s="297"/>
      <c r="X16" s="262"/>
      <c r="Y16" s="262"/>
      <c r="Z16" s="263"/>
      <c r="AA16" s="264"/>
      <c r="AB16" s="265"/>
      <c r="AC16" s="266"/>
      <c r="AD16" s="267"/>
      <c r="AE16" s="268"/>
      <c r="AF16" s="269"/>
      <c r="AG16" s="217"/>
      <c r="AH16" s="219"/>
      <c r="AI16" s="208"/>
    </row>
    <row r="17" spans="1:35" ht="11.15" customHeight="1">
      <c r="A17" s="228">
        <v>2</v>
      </c>
      <c r="B17" s="231">
        <f>B11+1</f>
        <v>46189</v>
      </c>
      <c r="C17" s="233" t="s">
        <v>165</v>
      </c>
      <c r="D17" s="233"/>
      <c r="E17" s="236" t="s">
        <v>166</v>
      </c>
      <c r="F17" s="237"/>
      <c r="G17" s="237"/>
      <c r="H17" s="237"/>
      <c r="I17" s="237"/>
      <c r="J17" s="237"/>
      <c r="K17" s="237"/>
      <c r="L17" s="237"/>
      <c r="M17" s="237"/>
      <c r="N17" s="238"/>
      <c r="O17" s="245" t="s">
        <v>167</v>
      </c>
      <c r="P17" s="246"/>
      <c r="Q17" s="247"/>
      <c r="R17" s="251" t="s">
        <v>155</v>
      </c>
      <c r="S17" s="252"/>
      <c r="T17" s="252"/>
      <c r="U17" s="252"/>
      <c r="V17" s="252"/>
      <c r="W17" s="253"/>
      <c r="X17" s="260" t="s">
        <v>59</v>
      </c>
      <c r="Y17" s="260"/>
      <c r="Z17" s="299" t="s">
        <v>17</v>
      </c>
      <c r="AA17" s="300"/>
      <c r="AB17" s="301"/>
      <c r="AC17" s="302">
        <v>0.29166666666666669</v>
      </c>
      <c r="AD17" s="303"/>
      <c r="AE17" s="304"/>
      <c r="AF17" s="226">
        <f>B17</f>
        <v>46189</v>
      </c>
      <c r="AG17" s="217" t="str">
        <f t="shared" ref="AG17" si="4">Z17</f>
        <v>B:ホテル</v>
      </c>
      <c r="AH17" s="207"/>
      <c r="AI17" s="208">
        <f t="shared" ref="AI17" si="5">AE17</f>
        <v>0</v>
      </c>
    </row>
    <row r="18" spans="1:35" ht="11.15" customHeight="1">
      <c r="A18" s="229"/>
      <c r="B18" s="232"/>
      <c r="C18" s="234"/>
      <c r="D18" s="234"/>
      <c r="E18" s="239"/>
      <c r="F18" s="240"/>
      <c r="G18" s="240"/>
      <c r="H18" s="240"/>
      <c r="I18" s="240"/>
      <c r="J18" s="240"/>
      <c r="K18" s="240"/>
      <c r="L18" s="240"/>
      <c r="M18" s="240"/>
      <c r="N18" s="241"/>
      <c r="O18" s="248"/>
      <c r="P18" s="249"/>
      <c r="Q18" s="250"/>
      <c r="R18" s="254"/>
      <c r="S18" s="255"/>
      <c r="T18" s="255"/>
      <c r="U18" s="255"/>
      <c r="V18" s="255"/>
      <c r="W18" s="256"/>
      <c r="X18" s="261"/>
      <c r="Y18" s="261"/>
      <c r="Z18" s="209"/>
      <c r="AA18" s="210"/>
      <c r="AB18" s="211"/>
      <c r="AC18" s="214"/>
      <c r="AD18" s="213"/>
      <c r="AE18" s="215"/>
      <c r="AF18" s="227"/>
      <c r="AG18" s="217"/>
      <c r="AH18" s="207"/>
      <c r="AI18" s="208"/>
    </row>
    <row r="19" spans="1:35" ht="11.15" customHeight="1">
      <c r="A19" s="229"/>
      <c r="B19" s="232"/>
      <c r="C19" s="234"/>
      <c r="D19" s="234"/>
      <c r="E19" s="239"/>
      <c r="F19" s="240"/>
      <c r="G19" s="240"/>
      <c r="H19" s="240"/>
      <c r="I19" s="240"/>
      <c r="J19" s="240"/>
      <c r="K19" s="240"/>
      <c r="L19" s="240"/>
      <c r="M19" s="240"/>
      <c r="N19" s="241"/>
      <c r="O19" s="248"/>
      <c r="P19" s="249"/>
      <c r="Q19" s="250"/>
      <c r="R19" s="254"/>
      <c r="S19" s="255"/>
      <c r="T19" s="255"/>
      <c r="U19" s="255"/>
      <c r="V19" s="255"/>
      <c r="W19" s="256"/>
      <c r="X19" s="261"/>
      <c r="Y19" s="261"/>
      <c r="Z19" s="209" t="s">
        <v>21</v>
      </c>
      <c r="AA19" s="210"/>
      <c r="AB19" s="211"/>
      <c r="AC19" s="212">
        <v>0.5</v>
      </c>
      <c r="AD19" s="213"/>
      <c r="AE19" s="215" t="s">
        <v>25</v>
      </c>
      <c r="AF19" s="226"/>
      <c r="AG19" s="217" t="str">
        <f t="shared" ref="AG19" si="6">Z19</f>
        <v>L:ADY</v>
      </c>
      <c r="AH19" s="298" t="s">
        <v>67</v>
      </c>
      <c r="AI19" s="208" t="str">
        <f t="shared" ref="AI19" si="7">AE19</f>
        <v>03-6457-9833</v>
      </c>
    </row>
    <row r="20" spans="1:35" ht="11.15" customHeight="1">
      <c r="A20" s="229"/>
      <c r="B20" s="232"/>
      <c r="C20" s="234"/>
      <c r="D20" s="234"/>
      <c r="E20" s="239"/>
      <c r="F20" s="240"/>
      <c r="G20" s="240"/>
      <c r="H20" s="240"/>
      <c r="I20" s="240"/>
      <c r="J20" s="240"/>
      <c r="K20" s="240"/>
      <c r="L20" s="240"/>
      <c r="M20" s="240"/>
      <c r="N20" s="241"/>
      <c r="O20" s="248"/>
      <c r="P20" s="249"/>
      <c r="Q20" s="250"/>
      <c r="R20" s="257"/>
      <c r="S20" s="258"/>
      <c r="T20" s="258"/>
      <c r="U20" s="258"/>
      <c r="V20" s="258"/>
      <c r="W20" s="259"/>
      <c r="X20" s="261"/>
      <c r="Y20" s="261"/>
      <c r="Z20" s="209"/>
      <c r="AA20" s="210"/>
      <c r="AB20" s="211"/>
      <c r="AC20" s="214"/>
      <c r="AD20" s="213"/>
      <c r="AE20" s="215"/>
      <c r="AF20" s="227"/>
      <c r="AG20" s="217"/>
      <c r="AH20" s="298"/>
      <c r="AI20" s="208"/>
    </row>
    <row r="21" spans="1:35" ht="11.15" customHeight="1">
      <c r="A21" s="229"/>
      <c r="B21" s="288" t="str">
        <f>TEXT(B17,"(aaa)")</f>
        <v>(火)</v>
      </c>
      <c r="C21" s="234"/>
      <c r="D21" s="234"/>
      <c r="E21" s="239"/>
      <c r="F21" s="240"/>
      <c r="G21" s="240"/>
      <c r="H21" s="240"/>
      <c r="I21" s="240"/>
      <c r="J21" s="240"/>
      <c r="K21" s="240"/>
      <c r="L21" s="240"/>
      <c r="M21" s="240"/>
      <c r="N21" s="241"/>
      <c r="O21" s="248"/>
      <c r="P21" s="249"/>
      <c r="Q21" s="250"/>
      <c r="R21" s="290" t="s">
        <v>16</v>
      </c>
      <c r="S21" s="292" t="s">
        <v>156</v>
      </c>
      <c r="T21" s="293"/>
      <c r="U21" s="293"/>
      <c r="V21" s="293"/>
      <c r="W21" s="294"/>
      <c r="X21" s="261"/>
      <c r="Y21" s="261"/>
      <c r="Z21" s="209" t="s">
        <v>22</v>
      </c>
      <c r="AA21" s="210"/>
      <c r="AB21" s="211"/>
      <c r="AC21" s="212">
        <v>0.79166666666666663</v>
      </c>
      <c r="AD21" s="213"/>
      <c r="AE21" s="215" t="s">
        <v>25</v>
      </c>
      <c r="AF21" s="226"/>
      <c r="AG21" s="217" t="str">
        <f t="shared" ref="AG21" si="8">Z21</f>
        <v>D:ADY</v>
      </c>
      <c r="AH21" s="298" t="s">
        <v>67</v>
      </c>
      <c r="AI21" s="208" t="str">
        <f t="shared" ref="AI21" si="9">AE21</f>
        <v>03-6457-9833</v>
      </c>
    </row>
    <row r="22" spans="1:35" ht="11.15" customHeight="1">
      <c r="A22" s="230"/>
      <c r="B22" s="289"/>
      <c r="C22" s="235"/>
      <c r="D22" s="235"/>
      <c r="E22" s="242"/>
      <c r="F22" s="243"/>
      <c r="G22" s="243"/>
      <c r="H22" s="243"/>
      <c r="I22" s="243"/>
      <c r="J22" s="243"/>
      <c r="K22" s="243"/>
      <c r="L22" s="243"/>
      <c r="M22" s="243"/>
      <c r="N22" s="244"/>
      <c r="O22" s="248"/>
      <c r="P22" s="249"/>
      <c r="Q22" s="250"/>
      <c r="R22" s="291"/>
      <c r="S22" s="295"/>
      <c r="T22" s="296"/>
      <c r="U22" s="296"/>
      <c r="V22" s="296"/>
      <c r="W22" s="297"/>
      <c r="X22" s="262"/>
      <c r="Y22" s="262"/>
      <c r="Z22" s="263"/>
      <c r="AA22" s="264"/>
      <c r="AB22" s="265"/>
      <c r="AC22" s="266"/>
      <c r="AD22" s="267"/>
      <c r="AE22" s="268"/>
      <c r="AF22" s="227"/>
      <c r="AG22" s="217"/>
      <c r="AH22" s="298"/>
      <c r="AI22" s="208"/>
    </row>
    <row r="23" spans="1:35" ht="11.15" customHeight="1">
      <c r="A23" s="228">
        <v>3</v>
      </c>
      <c r="B23" s="231">
        <f>B17+1</f>
        <v>46190</v>
      </c>
      <c r="C23" s="233" t="s">
        <v>116</v>
      </c>
      <c r="D23" s="233"/>
      <c r="E23" s="305" t="s">
        <v>72</v>
      </c>
      <c r="F23" s="306"/>
      <c r="G23" s="306"/>
      <c r="H23" s="306"/>
      <c r="I23" s="306"/>
      <c r="J23" s="306"/>
      <c r="K23" s="306"/>
      <c r="L23" s="306"/>
      <c r="M23" s="306"/>
      <c r="N23" s="307"/>
      <c r="O23" s="314" t="s">
        <v>332</v>
      </c>
      <c r="P23" s="315"/>
      <c r="Q23" s="316"/>
      <c r="R23" s="251" t="s">
        <v>58</v>
      </c>
      <c r="S23" s="252"/>
      <c r="T23" s="252"/>
      <c r="U23" s="252"/>
      <c r="V23" s="252"/>
      <c r="W23" s="253"/>
      <c r="X23" s="260" t="s">
        <v>59</v>
      </c>
      <c r="Y23" s="260"/>
      <c r="Z23" s="327" t="s">
        <v>131</v>
      </c>
      <c r="AA23" s="328"/>
      <c r="AB23" s="329"/>
      <c r="AC23" s="330" t="s">
        <v>130</v>
      </c>
      <c r="AD23" s="331"/>
      <c r="AE23" s="334" t="s">
        <v>132</v>
      </c>
      <c r="AF23" s="226">
        <f t="shared" ref="AF23" si="10">B23</f>
        <v>46190</v>
      </c>
      <c r="AG23" s="217" t="str">
        <f t="shared" ref="AG23" si="11">Z23</f>
        <v>B:お弁当(ゴヴィンダス)</v>
      </c>
      <c r="AH23" s="207"/>
      <c r="AI23" s="208" t="str">
        <f t="shared" ref="AI23" si="12">AE23</f>
        <v>090-4539-1313</v>
      </c>
    </row>
    <row r="24" spans="1:35" ht="11.15" customHeight="1">
      <c r="A24" s="229"/>
      <c r="B24" s="232"/>
      <c r="C24" s="234"/>
      <c r="D24" s="234"/>
      <c r="E24" s="308"/>
      <c r="F24" s="309"/>
      <c r="G24" s="309"/>
      <c r="H24" s="309"/>
      <c r="I24" s="309"/>
      <c r="J24" s="309"/>
      <c r="K24" s="309"/>
      <c r="L24" s="309"/>
      <c r="M24" s="309"/>
      <c r="N24" s="310"/>
      <c r="O24" s="317"/>
      <c r="P24" s="318"/>
      <c r="Q24" s="319"/>
      <c r="R24" s="254"/>
      <c r="S24" s="255"/>
      <c r="T24" s="255"/>
      <c r="U24" s="255"/>
      <c r="V24" s="255"/>
      <c r="W24" s="256"/>
      <c r="X24" s="261"/>
      <c r="Y24" s="261"/>
      <c r="Z24" s="320"/>
      <c r="AA24" s="321"/>
      <c r="AB24" s="322"/>
      <c r="AC24" s="332"/>
      <c r="AD24" s="333"/>
      <c r="AE24" s="326"/>
      <c r="AF24" s="227"/>
      <c r="AG24" s="217"/>
      <c r="AH24" s="207"/>
      <c r="AI24" s="208"/>
    </row>
    <row r="25" spans="1:35" ht="11.15" customHeight="1">
      <c r="A25" s="229"/>
      <c r="B25" s="232"/>
      <c r="C25" s="234"/>
      <c r="D25" s="234"/>
      <c r="E25" s="308"/>
      <c r="F25" s="309"/>
      <c r="G25" s="309"/>
      <c r="H25" s="309"/>
      <c r="I25" s="309"/>
      <c r="J25" s="309"/>
      <c r="K25" s="309"/>
      <c r="L25" s="309"/>
      <c r="M25" s="309"/>
      <c r="N25" s="310"/>
      <c r="O25" s="317"/>
      <c r="P25" s="318"/>
      <c r="Q25" s="319"/>
      <c r="R25" s="254"/>
      <c r="S25" s="255"/>
      <c r="T25" s="255"/>
      <c r="U25" s="255"/>
      <c r="V25" s="255"/>
      <c r="W25" s="256"/>
      <c r="X25" s="261"/>
      <c r="Y25" s="261"/>
      <c r="Z25" s="320" t="s">
        <v>68</v>
      </c>
      <c r="AA25" s="321"/>
      <c r="AB25" s="322"/>
      <c r="AC25" s="323">
        <v>0.52083333333333337</v>
      </c>
      <c r="AD25" s="324"/>
      <c r="AE25" s="326" t="s">
        <v>69</v>
      </c>
      <c r="AF25" s="226"/>
      <c r="AG25" s="217" t="str">
        <f t="shared" ref="AG25" si="13">Z25</f>
        <v>L:マユール</v>
      </c>
      <c r="AH25" s="298" t="s">
        <v>153</v>
      </c>
      <c r="AI25" s="208" t="str">
        <f t="shared" ref="AI25" si="14">AE25</f>
        <v>06-6267-3311</v>
      </c>
    </row>
    <row r="26" spans="1:35" ht="11.15" customHeight="1">
      <c r="A26" s="229"/>
      <c r="B26" s="232"/>
      <c r="C26" s="234"/>
      <c r="D26" s="234"/>
      <c r="E26" s="308"/>
      <c r="F26" s="309"/>
      <c r="G26" s="309"/>
      <c r="H26" s="309"/>
      <c r="I26" s="309"/>
      <c r="J26" s="309"/>
      <c r="K26" s="309"/>
      <c r="L26" s="309"/>
      <c r="M26" s="309"/>
      <c r="N26" s="310"/>
      <c r="O26" s="317"/>
      <c r="P26" s="318"/>
      <c r="Q26" s="319"/>
      <c r="R26" s="257"/>
      <c r="S26" s="258"/>
      <c r="T26" s="258"/>
      <c r="U26" s="258"/>
      <c r="V26" s="258"/>
      <c r="W26" s="259"/>
      <c r="X26" s="261"/>
      <c r="Y26" s="261"/>
      <c r="Z26" s="320"/>
      <c r="AA26" s="321"/>
      <c r="AB26" s="322"/>
      <c r="AC26" s="325"/>
      <c r="AD26" s="324"/>
      <c r="AE26" s="326"/>
      <c r="AF26" s="227"/>
      <c r="AG26" s="217"/>
      <c r="AH26" s="298"/>
      <c r="AI26" s="208"/>
    </row>
    <row r="27" spans="1:35" ht="11.15" customHeight="1">
      <c r="A27" s="229"/>
      <c r="B27" s="288" t="str">
        <f>TEXT(B23,"(aaa)")</f>
        <v>(水)</v>
      </c>
      <c r="C27" s="234"/>
      <c r="D27" s="234"/>
      <c r="E27" s="308"/>
      <c r="F27" s="309"/>
      <c r="G27" s="309"/>
      <c r="H27" s="309"/>
      <c r="I27" s="309"/>
      <c r="J27" s="309"/>
      <c r="K27" s="309"/>
      <c r="L27" s="309"/>
      <c r="M27" s="309"/>
      <c r="N27" s="310"/>
      <c r="O27" s="317"/>
      <c r="P27" s="318"/>
      <c r="Q27" s="319"/>
      <c r="R27" s="290" t="s">
        <v>19</v>
      </c>
      <c r="S27" s="292" t="s">
        <v>45</v>
      </c>
      <c r="T27" s="293"/>
      <c r="U27" s="293"/>
      <c r="V27" s="293"/>
      <c r="W27" s="294"/>
      <c r="X27" s="261"/>
      <c r="Y27" s="261"/>
      <c r="Z27" s="320" t="s">
        <v>139</v>
      </c>
      <c r="AA27" s="321"/>
      <c r="AB27" s="322"/>
      <c r="AC27" s="335">
        <v>0.79166666666666663</v>
      </c>
      <c r="AD27" s="324"/>
      <c r="AE27" s="326" t="s">
        <v>69</v>
      </c>
      <c r="AF27" s="226"/>
      <c r="AG27" s="217" t="str">
        <f t="shared" ref="AG27" si="15">Z27</f>
        <v>D:マユール</v>
      </c>
      <c r="AH27" s="298" t="s">
        <v>153</v>
      </c>
      <c r="AI27" s="208" t="str">
        <f t="shared" ref="AI27" si="16">AE27</f>
        <v>06-6267-3311</v>
      </c>
    </row>
    <row r="28" spans="1:35" ht="11.15" customHeight="1">
      <c r="A28" s="230"/>
      <c r="B28" s="289"/>
      <c r="C28" s="235"/>
      <c r="D28" s="235"/>
      <c r="E28" s="311"/>
      <c r="F28" s="312"/>
      <c r="G28" s="312"/>
      <c r="H28" s="312"/>
      <c r="I28" s="312"/>
      <c r="J28" s="312"/>
      <c r="K28" s="312"/>
      <c r="L28" s="312"/>
      <c r="M28" s="312"/>
      <c r="N28" s="313"/>
      <c r="O28" s="317"/>
      <c r="P28" s="318"/>
      <c r="Q28" s="319"/>
      <c r="R28" s="291"/>
      <c r="S28" s="295"/>
      <c r="T28" s="296"/>
      <c r="U28" s="296"/>
      <c r="V28" s="296"/>
      <c r="W28" s="297"/>
      <c r="X28" s="262"/>
      <c r="Y28" s="262"/>
      <c r="Z28" s="357"/>
      <c r="AA28" s="358"/>
      <c r="AB28" s="359"/>
      <c r="AC28" s="336"/>
      <c r="AD28" s="337"/>
      <c r="AE28" s="338"/>
      <c r="AF28" s="227"/>
      <c r="AG28" s="217"/>
      <c r="AH28" s="298"/>
      <c r="AI28" s="208"/>
    </row>
    <row r="29" spans="1:35" ht="11.15" customHeight="1">
      <c r="A29" s="228">
        <v>4</v>
      </c>
      <c r="B29" s="231">
        <f>B23+1</f>
        <v>46191</v>
      </c>
      <c r="C29" s="339" t="s">
        <v>118</v>
      </c>
      <c r="D29" s="340"/>
      <c r="E29" s="345" t="s">
        <v>78</v>
      </c>
      <c r="F29" s="346"/>
      <c r="G29" s="346"/>
      <c r="H29" s="346"/>
      <c r="I29" s="346"/>
      <c r="J29" s="346"/>
      <c r="K29" s="346"/>
      <c r="L29" s="346"/>
      <c r="M29" s="346"/>
      <c r="N29" s="347"/>
      <c r="O29" s="245" t="s">
        <v>170</v>
      </c>
      <c r="P29" s="246"/>
      <c r="Q29" s="247"/>
      <c r="R29" s="251" t="s">
        <v>58</v>
      </c>
      <c r="S29" s="252"/>
      <c r="T29" s="252"/>
      <c r="U29" s="252"/>
      <c r="V29" s="252"/>
      <c r="W29" s="253"/>
      <c r="X29" s="260" t="s">
        <v>59</v>
      </c>
      <c r="Y29" s="260"/>
      <c r="Z29" s="299" t="s">
        <v>17</v>
      </c>
      <c r="AA29" s="300"/>
      <c r="AB29" s="301"/>
      <c r="AC29" s="302">
        <v>0.27083333333333331</v>
      </c>
      <c r="AD29" s="303"/>
      <c r="AE29" s="334"/>
      <c r="AF29" s="226">
        <f t="shared" ref="AF29" si="17">B29</f>
        <v>46191</v>
      </c>
      <c r="AG29" s="217" t="str">
        <f t="shared" ref="AG29" si="18">Z29</f>
        <v>B:ホテル</v>
      </c>
      <c r="AH29" s="207"/>
      <c r="AI29" s="208">
        <f t="shared" ref="AI29" si="19">AE29</f>
        <v>0</v>
      </c>
    </row>
    <row r="30" spans="1:35" ht="11.15" customHeight="1">
      <c r="A30" s="229"/>
      <c r="B30" s="232"/>
      <c r="C30" s="341"/>
      <c r="D30" s="342"/>
      <c r="E30" s="348"/>
      <c r="F30" s="349"/>
      <c r="G30" s="349"/>
      <c r="H30" s="349"/>
      <c r="I30" s="349"/>
      <c r="J30" s="349"/>
      <c r="K30" s="349"/>
      <c r="L30" s="349"/>
      <c r="M30" s="349"/>
      <c r="N30" s="350"/>
      <c r="O30" s="248"/>
      <c r="P30" s="249"/>
      <c r="Q30" s="250"/>
      <c r="R30" s="254"/>
      <c r="S30" s="255"/>
      <c r="T30" s="255"/>
      <c r="U30" s="255"/>
      <c r="V30" s="255"/>
      <c r="W30" s="256"/>
      <c r="X30" s="261"/>
      <c r="Y30" s="261"/>
      <c r="Z30" s="209"/>
      <c r="AA30" s="210"/>
      <c r="AB30" s="211"/>
      <c r="AC30" s="214"/>
      <c r="AD30" s="213"/>
      <c r="AE30" s="326"/>
      <c r="AF30" s="227"/>
      <c r="AG30" s="217"/>
      <c r="AH30" s="207"/>
      <c r="AI30" s="208"/>
    </row>
    <row r="31" spans="1:35" ht="11.15" customHeight="1">
      <c r="A31" s="229"/>
      <c r="B31" s="232"/>
      <c r="C31" s="341"/>
      <c r="D31" s="342"/>
      <c r="E31" s="348"/>
      <c r="F31" s="349"/>
      <c r="G31" s="349"/>
      <c r="H31" s="349"/>
      <c r="I31" s="349"/>
      <c r="J31" s="349"/>
      <c r="K31" s="349"/>
      <c r="L31" s="349"/>
      <c r="M31" s="349"/>
      <c r="N31" s="350"/>
      <c r="O31" s="248"/>
      <c r="P31" s="249"/>
      <c r="Q31" s="250"/>
      <c r="R31" s="254"/>
      <c r="S31" s="255"/>
      <c r="T31" s="255"/>
      <c r="U31" s="255"/>
      <c r="V31" s="255"/>
      <c r="W31" s="256"/>
      <c r="X31" s="261"/>
      <c r="Y31" s="261"/>
      <c r="Z31" s="320" t="s">
        <v>141</v>
      </c>
      <c r="AA31" s="321"/>
      <c r="AB31" s="322"/>
      <c r="AC31" s="323" t="s">
        <v>36</v>
      </c>
      <c r="AD31" s="324"/>
      <c r="AE31" s="326"/>
      <c r="AF31" s="226"/>
      <c r="AG31" s="217" t="str">
        <f t="shared" ref="AG31" si="20">Z31</f>
        <v>L:2,500円返金</v>
      </c>
      <c r="AH31" s="298"/>
      <c r="AI31" s="208">
        <f t="shared" ref="AI31" si="21">AE31</f>
        <v>0</v>
      </c>
    </row>
    <row r="32" spans="1:35" ht="11.15" customHeight="1">
      <c r="A32" s="229"/>
      <c r="B32" s="232"/>
      <c r="C32" s="341"/>
      <c r="D32" s="342"/>
      <c r="E32" s="348"/>
      <c r="F32" s="349"/>
      <c r="G32" s="349"/>
      <c r="H32" s="349"/>
      <c r="I32" s="349"/>
      <c r="J32" s="349"/>
      <c r="K32" s="349"/>
      <c r="L32" s="349"/>
      <c r="M32" s="349"/>
      <c r="N32" s="350"/>
      <c r="O32" s="248"/>
      <c r="P32" s="249"/>
      <c r="Q32" s="250"/>
      <c r="R32" s="257"/>
      <c r="S32" s="258"/>
      <c r="T32" s="258"/>
      <c r="U32" s="258"/>
      <c r="V32" s="258"/>
      <c r="W32" s="259"/>
      <c r="X32" s="261"/>
      <c r="Y32" s="261"/>
      <c r="Z32" s="320"/>
      <c r="AA32" s="321"/>
      <c r="AB32" s="322"/>
      <c r="AC32" s="325"/>
      <c r="AD32" s="324"/>
      <c r="AE32" s="326"/>
      <c r="AF32" s="227"/>
      <c r="AG32" s="217"/>
      <c r="AH32" s="298"/>
      <c r="AI32" s="208"/>
    </row>
    <row r="33" spans="1:35" ht="11.15" customHeight="1">
      <c r="A33" s="229"/>
      <c r="B33" s="288" t="str">
        <f>TEXT(B29,"(aaa)")</f>
        <v>(木)</v>
      </c>
      <c r="C33" s="341"/>
      <c r="D33" s="342"/>
      <c r="E33" s="348"/>
      <c r="F33" s="349"/>
      <c r="G33" s="349"/>
      <c r="H33" s="349"/>
      <c r="I33" s="349"/>
      <c r="J33" s="349"/>
      <c r="K33" s="349"/>
      <c r="L33" s="349"/>
      <c r="M33" s="349"/>
      <c r="N33" s="350"/>
      <c r="O33" s="248"/>
      <c r="P33" s="249"/>
      <c r="Q33" s="250"/>
      <c r="R33" s="290" t="s">
        <v>19</v>
      </c>
      <c r="S33" s="292" t="s">
        <v>45</v>
      </c>
      <c r="T33" s="293"/>
      <c r="U33" s="293"/>
      <c r="V33" s="293"/>
      <c r="W33" s="294"/>
      <c r="X33" s="261"/>
      <c r="Y33" s="261"/>
      <c r="Z33" s="320" t="s">
        <v>139</v>
      </c>
      <c r="AA33" s="321"/>
      <c r="AB33" s="322"/>
      <c r="AC33" s="335">
        <v>0.79166666666666663</v>
      </c>
      <c r="AD33" s="324"/>
      <c r="AE33" s="326" t="s">
        <v>69</v>
      </c>
      <c r="AF33" s="226"/>
      <c r="AG33" s="217" t="str">
        <f t="shared" ref="AG33" si="22">Z33</f>
        <v>D:マユール</v>
      </c>
      <c r="AH33" s="298" t="s">
        <v>153</v>
      </c>
      <c r="AI33" s="208" t="str">
        <f t="shared" ref="AI33" si="23">AE33</f>
        <v>06-6267-3311</v>
      </c>
    </row>
    <row r="34" spans="1:35" ht="11.15" customHeight="1">
      <c r="A34" s="230"/>
      <c r="B34" s="289"/>
      <c r="C34" s="343"/>
      <c r="D34" s="344"/>
      <c r="E34" s="351"/>
      <c r="F34" s="352"/>
      <c r="G34" s="352"/>
      <c r="H34" s="352"/>
      <c r="I34" s="352"/>
      <c r="J34" s="352"/>
      <c r="K34" s="352"/>
      <c r="L34" s="352"/>
      <c r="M34" s="352"/>
      <c r="N34" s="353"/>
      <c r="O34" s="354"/>
      <c r="P34" s="355"/>
      <c r="Q34" s="356"/>
      <c r="R34" s="291"/>
      <c r="S34" s="295"/>
      <c r="T34" s="296"/>
      <c r="U34" s="296"/>
      <c r="V34" s="296"/>
      <c r="W34" s="297"/>
      <c r="X34" s="262"/>
      <c r="Y34" s="262"/>
      <c r="Z34" s="357"/>
      <c r="AA34" s="358"/>
      <c r="AB34" s="359"/>
      <c r="AC34" s="336"/>
      <c r="AD34" s="337"/>
      <c r="AE34" s="338"/>
      <c r="AF34" s="227"/>
      <c r="AG34" s="217"/>
      <c r="AH34" s="298"/>
      <c r="AI34" s="208"/>
    </row>
    <row r="35" spans="1:35" ht="11.15" customHeight="1">
      <c r="A35" s="228">
        <v>5</v>
      </c>
      <c r="B35" s="231">
        <f>B29+1</f>
        <v>46192</v>
      </c>
      <c r="C35" s="233" t="s">
        <v>117</v>
      </c>
      <c r="D35" s="233"/>
      <c r="E35" s="360" t="s">
        <v>173</v>
      </c>
      <c r="F35" s="361"/>
      <c r="G35" s="361"/>
      <c r="H35" s="361"/>
      <c r="I35" s="361"/>
      <c r="J35" s="361"/>
      <c r="K35" s="361"/>
      <c r="L35" s="361"/>
      <c r="M35" s="361"/>
      <c r="N35" s="362"/>
      <c r="O35" s="314" t="s">
        <v>373</v>
      </c>
      <c r="P35" s="315"/>
      <c r="Q35" s="316"/>
      <c r="R35" s="251" t="s">
        <v>58</v>
      </c>
      <c r="S35" s="252"/>
      <c r="T35" s="252"/>
      <c r="U35" s="252"/>
      <c r="V35" s="252"/>
      <c r="W35" s="253"/>
      <c r="X35" s="260" t="s">
        <v>59</v>
      </c>
      <c r="Y35" s="260"/>
      <c r="Z35" s="327" t="s">
        <v>152</v>
      </c>
      <c r="AA35" s="328"/>
      <c r="AB35" s="329"/>
      <c r="AC35" s="330" t="s">
        <v>130</v>
      </c>
      <c r="AD35" s="331"/>
      <c r="AE35" s="334" t="s">
        <v>69</v>
      </c>
      <c r="AF35" s="226">
        <f t="shared" ref="AF35" si="24">B35</f>
        <v>46192</v>
      </c>
      <c r="AG35" s="217" t="str">
        <f t="shared" ref="AG35" si="25">Z35</f>
        <v>B:お弁当(マユール)</v>
      </c>
      <c r="AH35" s="207"/>
      <c r="AI35" s="208" t="str">
        <f t="shared" ref="AI35" si="26">AE35</f>
        <v>06-6267-3311</v>
      </c>
    </row>
    <row r="36" spans="1:35" ht="11.15" customHeight="1">
      <c r="A36" s="229"/>
      <c r="B36" s="232"/>
      <c r="C36" s="234"/>
      <c r="D36" s="234"/>
      <c r="E36" s="363"/>
      <c r="F36" s="364"/>
      <c r="G36" s="364"/>
      <c r="H36" s="364"/>
      <c r="I36" s="364"/>
      <c r="J36" s="364"/>
      <c r="K36" s="364"/>
      <c r="L36" s="364"/>
      <c r="M36" s="364"/>
      <c r="N36" s="365"/>
      <c r="O36" s="317"/>
      <c r="P36" s="318"/>
      <c r="Q36" s="319"/>
      <c r="R36" s="254"/>
      <c r="S36" s="255"/>
      <c r="T36" s="255"/>
      <c r="U36" s="255"/>
      <c r="V36" s="255"/>
      <c r="W36" s="256"/>
      <c r="X36" s="261"/>
      <c r="Y36" s="261"/>
      <c r="Z36" s="320"/>
      <c r="AA36" s="321"/>
      <c r="AB36" s="322"/>
      <c r="AC36" s="332"/>
      <c r="AD36" s="333"/>
      <c r="AE36" s="326"/>
      <c r="AF36" s="227"/>
      <c r="AG36" s="217"/>
      <c r="AH36" s="207"/>
      <c r="AI36" s="208"/>
    </row>
    <row r="37" spans="1:35" ht="11.15" customHeight="1">
      <c r="A37" s="229"/>
      <c r="B37" s="232"/>
      <c r="C37" s="234"/>
      <c r="D37" s="234"/>
      <c r="E37" s="363"/>
      <c r="F37" s="364"/>
      <c r="G37" s="364"/>
      <c r="H37" s="364"/>
      <c r="I37" s="364"/>
      <c r="J37" s="364"/>
      <c r="K37" s="364"/>
      <c r="L37" s="364"/>
      <c r="M37" s="364"/>
      <c r="N37" s="365"/>
      <c r="O37" s="317"/>
      <c r="P37" s="318"/>
      <c r="Q37" s="319"/>
      <c r="R37" s="254"/>
      <c r="S37" s="255"/>
      <c r="T37" s="255"/>
      <c r="U37" s="255"/>
      <c r="V37" s="255"/>
      <c r="W37" s="256"/>
      <c r="X37" s="261"/>
      <c r="Y37" s="261"/>
      <c r="Z37" s="320" t="s">
        <v>140</v>
      </c>
      <c r="AA37" s="321"/>
      <c r="AB37" s="322"/>
      <c r="AC37" s="335">
        <v>0.58333333333333337</v>
      </c>
      <c r="AD37" s="324"/>
      <c r="AE37" s="326" t="s">
        <v>24</v>
      </c>
      <c r="AF37" s="226"/>
      <c r="AG37" s="217" t="str">
        <f t="shared" ref="AG37" si="27">Z37</f>
        <v>L:ボンベイダイニング五日市</v>
      </c>
      <c r="AH37" s="298" t="s">
        <v>124</v>
      </c>
      <c r="AI37" s="208" t="str">
        <f t="shared" ref="AI37" si="28">AE37</f>
        <v>082-924-1166</v>
      </c>
    </row>
    <row r="38" spans="1:35" ht="11.15" customHeight="1">
      <c r="A38" s="229"/>
      <c r="B38" s="232"/>
      <c r="C38" s="234"/>
      <c r="D38" s="234"/>
      <c r="E38" s="363"/>
      <c r="F38" s="364"/>
      <c r="G38" s="364"/>
      <c r="H38" s="364"/>
      <c r="I38" s="364"/>
      <c r="J38" s="364"/>
      <c r="K38" s="364"/>
      <c r="L38" s="364"/>
      <c r="M38" s="364"/>
      <c r="N38" s="365"/>
      <c r="O38" s="317"/>
      <c r="P38" s="318"/>
      <c r="Q38" s="319"/>
      <c r="R38" s="257"/>
      <c r="S38" s="258"/>
      <c r="T38" s="258"/>
      <c r="U38" s="258"/>
      <c r="V38" s="258"/>
      <c r="W38" s="259"/>
      <c r="X38" s="261"/>
      <c r="Y38" s="261"/>
      <c r="Z38" s="320"/>
      <c r="AA38" s="321"/>
      <c r="AB38" s="322"/>
      <c r="AC38" s="325"/>
      <c r="AD38" s="324"/>
      <c r="AE38" s="326"/>
      <c r="AF38" s="227"/>
      <c r="AG38" s="217"/>
      <c r="AH38" s="298"/>
      <c r="AI38" s="208"/>
    </row>
    <row r="39" spans="1:35" ht="11.15" customHeight="1">
      <c r="A39" s="229"/>
      <c r="B39" s="288" t="str">
        <f>TEXT(B35,"(aaa)")</f>
        <v>(金)</v>
      </c>
      <c r="C39" s="234"/>
      <c r="D39" s="234"/>
      <c r="E39" s="363"/>
      <c r="F39" s="364"/>
      <c r="G39" s="364"/>
      <c r="H39" s="364"/>
      <c r="I39" s="364"/>
      <c r="J39" s="364"/>
      <c r="K39" s="364"/>
      <c r="L39" s="364"/>
      <c r="M39" s="364"/>
      <c r="N39" s="365"/>
      <c r="O39" s="317"/>
      <c r="P39" s="318"/>
      <c r="Q39" s="319"/>
      <c r="R39" s="290" t="s">
        <v>19</v>
      </c>
      <c r="S39" s="292" t="s">
        <v>45</v>
      </c>
      <c r="T39" s="293"/>
      <c r="U39" s="293"/>
      <c r="V39" s="293"/>
      <c r="W39" s="294"/>
      <c r="X39" s="261"/>
      <c r="Y39" s="261"/>
      <c r="Z39" s="320" t="s">
        <v>139</v>
      </c>
      <c r="AA39" s="321"/>
      <c r="AB39" s="322"/>
      <c r="AC39" s="335">
        <v>0.8125</v>
      </c>
      <c r="AD39" s="324"/>
      <c r="AE39" s="326" t="s">
        <v>69</v>
      </c>
      <c r="AF39" s="226"/>
      <c r="AG39" s="217" t="str">
        <f t="shared" ref="AG39" si="29">Z39</f>
        <v>D:マユール</v>
      </c>
      <c r="AH39" s="298" t="s">
        <v>153</v>
      </c>
      <c r="AI39" s="208" t="str">
        <f t="shared" ref="AI39" si="30">AE39</f>
        <v>06-6267-3311</v>
      </c>
    </row>
    <row r="40" spans="1:35" ht="11.15" customHeight="1">
      <c r="A40" s="230"/>
      <c r="B40" s="289"/>
      <c r="C40" s="235"/>
      <c r="D40" s="235"/>
      <c r="E40" s="366"/>
      <c r="F40" s="367"/>
      <c r="G40" s="367"/>
      <c r="H40" s="367"/>
      <c r="I40" s="367"/>
      <c r="J40" s="367"/>
      <c r="K40" s="367"/>
      <c r="L40" s="367"/>
      <c r="M40" s="367"/>
      <c r="N40" s="368"/>
      <c r="O40" s="369"/>
      <c r="P40" s="370"/>
      <c r="Q40" s="371"/>
      <c r="R40" s="291"/>
      <c r="S40" s="295"/>
      <c r="T40" s="296"/>
      <c r="U40" s="296"/>
      <c r="V40" s="296"/>
      <c r="W40" s="297"/>
      <c r="X40" s="262"/>
      <c r="Y40" s="262"/>
      <c r="Z40" s="357"/>
      <c r="AA40" s="358"/>
      <c r="AB40" s="359"/>
      <c r="AC40" s="336"/>
      <c r="AD40" s="337"/>
      <c r="AE40" s="338"/>
      <c r="AF40" s="227"/>
      <c r="AG40" s="217"/>
      <c r="AH40" s="298"/>
      <c r="AI40" s="208"/>
    </row>
    <row r="41" spans="1:35" ht="11.15" customHeight="1">
      <c r="A41" s="228">
        <v>6</v>
      </c>
      <c r="B41" s="231">
        <f>B35+1</f>
        <v>46193</v>
      </c>
      <c r="C41" s="339" t="s">
        <v>118</v>
      </c>
      <c r="D41" s="340"/>
      <c r="E41" s="305" t="s">
        <v>77</v>
      </c>
      <c r="F41" s="306"/>
      <c r="G41" s="306"/>
      <c r="H41" s="306"/>
      <c r="I41" s="306"/>
      <c r="J41" s="306"/>
      <c r="K41" s="306"/>
      <c r="L41" s="306"/>
      <c r="M41" s="306"/>
      <c r="N41" s="307"/>
      <c r="O41" s="314" t="s">
        <v>160</v>
      </c>
      <c r="P41" s="315"/>
      <c r="Q41" s="316"/>
      <c r="R41" s="251" t="s">
        <v>74</v>
      </c>
      <c r="S41" s="374"/>
      <c r="T41" s="374"/>
      <c r="U41" s="374"/>
      <c r="V41" s="374"/>
      <c r="W41" s="375"/>
      <c r="X41" s="260" t="s">
        <v>59</v>
      </c>
      <c r="Y41" s="260"/>
      <c r="Z41" s="327" t="s">
        <v>17</v>
      </c>
      <c r="AA41" s="328"/>
      <c r="AB41" s="329"/>
      <c r="AC41" s="372">
        <v>0.27083333333333331</v>
      </c>
      <c r="AD41" s="373"/>
      <c r="AE41" s="334"/>
      <c r="AF41" s="226">
        <f t="shared" ref="AF41" si="31">B41</f>
        <v>46193</v>
      </c>
      <c r="AG41" s="217" t="str">
        <f t="shared" ref="AG41" si="32">Z41</f>
        <v>B:ホテル</v>
      </c>
      <c r="AH41" s="207"/>
      <c r="AI41" s="208">
        <f t="shared" ref="AI41" si="33">AE41</f>
        <v>0</v>
      </c>
    </row>
    <row r="42" spans="1:35" ht="11.15" customHeight="1">
      <c r="A42" s="229"/>
      <c r="B42" s="232"/>
      <c r="C42" s="341"/>
      <c r="D42" s="342"/>
      <c r="E42" s="308"/>
      <c r="F42" s="309"/>
      <c r="G42" s="309"/>
      <c r="H42" s="309"/>
      <c r="I42" s="309"/>
      <c r="J42" s="309"/>
      <c r="K42" s="309"/>
      <c r="L42" s="309"/>
      <c r="M42" s="309"/>
      <c r="N42" s="310"/>
      <c r="O42" s="317"/>
      <c r="P42" s="318"/>
      <c r="Q42" s="319"/>
      <c r="R42" s="376"/>
      <c r="S42" s="377"/>
      <c r="T42" s="377"/>
      <c r="U42" s="377"/>
      <c r="V42" s="377"/>
      <c r="W42" s="378"/>
      <c r="X42" s="261"/>
      <c r="Y42" s="261"/>
      <c r="Z42" s="320"/>
      <c r="AA42" s="321"/>
      <c r="AB42" s="322"/>
      <c r="AC42" s="325"/>
      <c r="AD42" s="324"/>
      <c r="AE42" s="326"/>
      <c r="AF42" s="227"/>
      <c r="AG42" s="217"/>
      <c r="AH42" s="207"/>
      <c r="AI42" s="208"/>
    </row>
    <row r="43" spans="1:35" ht="11.15" customHeight="1">
      <c r="A43" s="229"/>
      <c r="B43" s="232"/>
      <c r="C43" s="341"/>
      <c r="D43" s="342"/>
      <c r="E43" s="308"/>
      <c r="F43" s="309"/>
      <c r="G43" s="309"/>
      <c r="H43" s="309"/>
      <c r="I43" s="309"/>
      <c r="J43" s="309"/>
      <c r="K43" s="309"/>
      <c r="L43" s="309"/>
      <c r="M43" s="309"/>
      <c r="N43" s="310"/>
      <c r="O43" s="317"/>
      <c r="P43" s="318"/>
      <c r="Q43" s="319"/>
      <c r="R43" s="376"/>
      <c r="S43" s="377"/>
      <c r="T43" s="377"/>
      <c r="U43" s="377"/>
      <c r="V43" s="377"/>
      <c r="W43" s="378"/>
      <c r="X43" s="261"/>
      <c r="Y43" s="261"/>
      <c r="Z43" s="320" t="s">
        <v>142</v>
      </c>
      <c r="AA43" s="321"/>
      <c r="AB43" s="322"/>
      <c r="AC43" s="323">
        <v>0.5625</v>
      </c>
      <c r="AD43" s="324"/>
      <c r="AE43" s="326" t="s">
        <v>69</v>
      </c>
      <c r="AF43" s="226"/>
      <c r="AG43" s="217" t="str">
        <f t="shared" ref="AG43" si="34">Z43</f>
        <v>L:マユール</v>
      </c>
      <c r="AH43" s="298" t="s">
        <v>153</v>
      </c>
      <c r="AI43" s="208" t="str">
        <f t="shared" ref="AI43" si="35">AE43</f>
        <v>06-6267-3311</v>
      </c>
    </row>
    <row r="44" spans="1:35" ht="11.15" customHeight="1">
      <c r="A44" s="229"/>
      <c r="B44" s="232"/>
      <c r="C44" s="341"/>
      <c r="D44" s="342"/>
      <c r="E44" s="308"/>
      <c r="F44" s="309"/>
      <c r="G44" s="309"/>
      <c r="H44" s="309"/>
      <c r="I44" s="309"/>
      <c r="J44" s="309"/>
      <c r="K44" s="309"/>
      <c r="L44" s="309"/>
      <c r="M44" s="309"/>
      <c r="N44" s="310"/>
      <c r="O44" s="317"/>
      <c r="P44" s="318"/>
      <c r="Q44" s="319"/>
      <c r="R44" s="379"/>
      <c r="S44" s="380"/>
      <c r="T44" s="380"/>
      <c r="U44" s="380"/>
      <c r="V44" s="380"/>
      <c r="W44" s="381"/>
      <c r="X44" s="261"/>
      <c r="Y44" s="261"/>
      <c r="Z44" s="320"/>
      <c r="AA44" s="321"/>
      <c r="AB44" s="322"/>
      <c r="AC44" s="325"/>
      <c r="AD44" s="324"/>
      <c r="AE44" s="326"/>
      <c r="AF44" s="227"/>
      <c r="AG44" s="217"/>
      <c r="AH44" s="298"/>
      <c r="AI44" s="208"/>
    </row>
    <row r="45" spans="1:35" ht="11.15" customHeight="1">
      <c r="A45" s="229"/>
      <c r="B45" s="288" t="str">
        <f>TEXT(B41,"(aaa)")</f>
        <v>(土)</v>
      </c>
      <c r="C45" s="341"/>
      <c r="D45" s="342"/>
      <c r="E45" s="308"/>
      <c r="F45" s="309"/>
      <c r="G45" s="309"/>
      <c r="H45" s="309"/>
      <c r="I45" s="309"/>
      <c r="J45" s="309"/>
      <c r="K45" s="309"/>
      <c r="L45" s="309"/>
      <c r="M45" s="309"/>
      <c r="N45" s="310"/>
      <c r="O45" s="317"/>
      <c r="P45" s="318"/>
      <c r="Q45" s="319"/>
      <c r="R45" s="290" t="s">
        <v>18</v>
      </c>
      <c r="S45" s="383" t="s">
        <v>75</v>
      </c>
      <c r="T45" s="384"/>
      <c r="U45" s="384"/>
      <c r="V45" s="384"/>
      <c r="W45" s="385"/>
      <c r="X45" s="261"/>
      <c r="Y45" s="261"/>
      <c r="Z45" s="320" t="s">
        <v>37</v>
      </c>
      <c r="AA45" s="321"/>
      <c r="AB45" s="322"/>
      <c r="AC45" s="335">
        <v>0.79166666666666663</v>
      </c>
      <c r="AD45" s="324"/>
      <c r="AE45" s="326" t="s">
        <v>39</v>
      </c>
      <c r="AF45" s="226"/>
      <c r="AG45" s="217" t="str">
        <f t="shared" ref="AG45" si="36">Z45</f>
        <v>D:ガネーシャ今出川</v>
      </c>
      <c r="AH45" s="298" t="s">
        <v>66</v>
      </c>
      <c r="AI45" s="208" t="str">
        <f t="shared" ref="AI45" si="37">AE45</f>
        <v>075-366-6122</v>
      </c>
    </row>
    <row r="46" spans="1:35" ht="11.15" customHeight="1">
      <c r="A46" s="230"/>
      <c r="B46" s="289"/>
      <c r="C46" s="343"/>
      <c r="D46" s="344"/>
      <c r="E46" s="311"/>
      <c r="F46" s="312"/>
      <c r="G46" s="312"/>
      <c r="H46" s="312"/>
      <c r="I46" s="312"/>
      <c r="J46" s="312"/>
      <c r="K46" s="312"/>
      <c r="L46" s="312"/>
      <c r="M46" s="312"/>
      <c r="N46" s="313"/>
      <c r="O46" s="369"/>
      <c r="P46" s="370"/>
      <c r="Q46" s="371"/>
      <c r="R46" s="382"/>
      <c r="S46" s="386"/>
      <c r="T46" s="387"/>
      <c r="U46" s="387"/>
      <c r="V46" s="387"/>
      <c r="W46" s="388"/>
      <c r="X46" s="262"/>
      <c r="Y46" s="262"/>
      <c r="Z46" s="357"/>
      <c r="AA46" s="358"/>
      <c r="AB46" s="359"/>
      <c r="AC46" s="336"/>
      <c r="AD46" s="337"/>
      <c r="AE46" s="338"/>
      <c r="AF46" s="227"/>
      <c r="AG46" s="217"/>
      <c r="AH46" s="298"/>
      <c r="AI46" s="208"/>
    </row>
    <row r="47" spans="1:35" ht="11.15" customHeight="1">
      <c r="A47" s="228">
        <v>7</v>
      </c>
      <c r="B47" s="231">
        <f>B41+1</f>
        <v>46194</v>
      </c>
      <c r="C47" s="339" t="s">
        <v>118</v>
      </c>
      <c r="D47" s="340"/>
      <c r="E47" s="345" t="s">
        <v>73</v>
      </c>
      <c r="F47" s="346"/>
      <c r="G47" s="346"/>
      <c r="H47" s="346"/>
      <c r="I47" s="346"/>
      <c r="J47" s="346"/>
      <c r="K47" s="346"/>
      <c r="L47" s="346"/>
      <c r="M47" s="346"/>
      <c r="N47" s="347"/>
      <c r="O47" s="314" t="s">
        <v>171</v>
      </c>
      <c r="P47" s="315"/>
      <c r="Q47" s="316"/>
      <c r="R47" s="251" t="s">
        <v>74</v>
      </c>
      <c r="S47" s="374"/>
      <c r="T47" s="374"/>
      <c r="U47" s="374"/>
      <c r="V47" s="374"/>
      <c r="W47" s="375"/>
      <c r="X47" s="260" t="s">
        <v>59</v>
      </c>
      <c r="Y47" s="260"/>
      <c r="Z47" s="327" t="s">
        <v>17</v>
      </c>
      <c r="AA47" s="328"/>
      <c r="AB47" s="329"/>
      <c r="AC47" s="372">
        <v>0.28125</v>
      </c>
      <c r="AD47" s="373"/>
      <c r="AE47" s="389"/>
      <c r="AF47" s="226">
        <f t="shared" ref="AF47" si="38">B47</f>
        <v>46194</v>
      </c>
      <c r="AG47" s="217" t="str">
        <f t="shared" ref="AG47" si="39">Z47</f>
        <v>B:ホテル</v>
      </c>
      <c r="AH47" s="207"/>
      <c r="AI47" s="208">
        <f t="shared" ref="AI47" si="40">AE47</f>
        <v>0</v>
      </c>
    </row>
    <row r="48" spans="1:35" ht="11.15" customHeight="1">
      <c r="A48" s="229"/>
      <c r="B48" s="232"/>
      <c r="C48" s="341"/>
      <c r="D48" s="342"/>
      <c r="E48" s="348"/>
      <c r="F48" s="349"/>
      <c r="G48" s="349"/>
      <c r="H48" s="349"/>
      <c r="I48" s="349"/>
      <c r="J48" s="349"/>
      <c r="K48" s="349"/>
      <c r="L48" s="349"/>
      <c r="M48" s="349"/>
      <c r="N48" s="350"/>
      <c r="O48" s="317"/>
      <c r="P48" s="318"/>
      <c r="Q48" s="319"/>
      <c r="R48" s="376"/>
      <c r="S48" s="377"/>
      <c r="T48" s="377"/>
      <c r="U48" s="377"/>
      <c r="V48" s="377"/>
      <c r="W48" s="378"/>
      <c r="X48" s="261"/>
      <c r="Y48" s="261"/>
      <c r="Z48" s="320"/>
      <c r="AA48" s="321"/>
      <c r="AB48" s="322"/>
      <c r="AC48" s="325"/>
      <c r="AD48" s="324"/>
      <c r="AE48" s="390"/>
      <c r="AF48" s="227"/>
      <c r="AG48" s="217"/>
      <c r="AH48" s="207"/>
      <c r="AI48" s="208"/>
    </row>
    <row r="49" spans="1:35" ht="11.15" customHeight="1">
      <c r="A49" s="229"/>
      <c r="B49" s="232"/>
      <c r="C49" s="341"/>
      <c r="D49" s="342"/>
      <c r="E49" s="348"/>
      <c r="F49" s="349"/>
      <c r="G49" s="349"/>
      <c r="H49" s="349"/>
      <c r="I49" s="349"/>
      <c r="J49" s="349"/>
      <c r="K49" s="349"/>
      <c r="L49" s="349"/>
      <c r="M49" s="349"/>
      <c r="N49" s="350"/>
      <c r="O49" s="317"/>
      <c r="P49" s="318"/>
      <c r="Q49" s="319"/>
      <c r="R49" s="376"/>
      <c r="S49" s="377"/>
      <c r="T49" s="377"/>
      <c r="U49" s="377"/>
      <c r="V49" s="377"/>
      <c r="W49" s="378"/>
      <c r="X49" s="261"/>
      <c r="Y49" s="261"/>
      <c r="Z49" s="320" t="s">
        <v>38</v>
      </c>
      <c r="AA49" s="321"/>
      <c r="AB49" s="322"/>
      <c r="AC49" s="335">
        <v>0.54166666666666663</v>
      </c>
      <c r="AD49" s="324"/>
      <c r="AE49" s="326" t="s">
        <v>40</v>
      </c>
      <c r="AF49" s="226"/>
      <c r="AG49" s="217" t="str">
        <f t="shared" ref="AG49" si="41">Z49</f>
        <v>L:ガネーシャ今出川</v>
      </c>
      <c r="AH49" s="298" t="s">
        <v>66</v>
      </c>
      <c r="AI49" s="208" t="str">
        <f t="shared" ref="AI49" si="42">AE49</f>
        <v>075-366-6122</v>
      </c>
    </row>
    <row r="50" spans="1:35" ht="11.15" customHeight="1">
      <c r="A50" s="229"/>
      <c r="B50" s="232"/>
      <c r="C50" s="341"/>
      <c r="D50" s="342"/>
      <c r="E50" s="348"/>
      <c r="F50" s="349"/>
      <c r="G50" s="349"/>
      <c r="H50" s="349"/>
      <c r="I50" s="349"/>
      <c r="J50" s="349"/>
      <c r="K50" s="349"/>
      <c r="L50" s="349"/>
      <c r="M50" s="349"/>
      <c r="N50" s="350"/>
      <c r="O50" s="317"/>
      <c r="P50" s="318"/>
      <c r="Q50" s="319"/>
      <c r="R50" s="379"/>
      <c r="S50" s="380"/>
      <c r="T50" s="380"/>
      <c r="U50" s="380"/>
      <c r="V50" s="380"/>
      <c r="W50" s="381"/>
      <c r="X50" s="261"/>
      <c r="Y50" s="261"/>
      <c r="Z50" s="320"/>
      <c r="AA50" s="321"/>
      <c r="AB50" s="322"/>
      <c r="AC50" s="325"/>
      <c r="AD50" s="324"/>
      <c r="AE50" s="326"/>
      <c r="AF50" s="227"/>
      <c r="AG50" s="217"/>
      <c r="AH50" s="298"/>
      <c r="AI50" s="208"/>
    </row>
    <row r="51" spans="1:35" ht="11.15" customHeight="1">
      <c r="A51" s="229"/>
      <c r="B51" s="288" t="str">
        <f>TEXT(B47,"(aaa)")</f>
        <v>(日)</v>
      </c>
      <c r="C51" s="341"/>
      <c r="D51" s="342"/>
      <c r="E51" s="348"/>
      <c r="F51" s="349"/>
      <c r="G51" s="349"/>
      <c r="H51" s="349"/>
      <c r="I51" s="349"/>
      <c r="J51" s="349"/>
      <c r="K51" s="349"/>
      <c r="L51" s="349"/>
      <c r="M51" s="349"/>
      <c r="N51" s="350"/>
      <c r="O51" s="317"/>
      <c r="P51" s="318"/>
      <c r="Q51" s="319"/>
      <c r="R51" s="290" t="s">
        <v>18</v>
      </c>
      <c r="S51" s="383" t="s">
        <v>75</v>
      </c>
      <c r="T51" s="384"/>
      <c r="U51" s="384"/>
      <c r="V51" s="384"/>
      <c r="W51" s="385"/>
      <c r="X51" s="261"/>
      <c r="Y51" s="261"/>
      <c r="Z51" s="320" t="s">
        <v>37</v>
      </c>
      <c r="AA51" s="321"/>
      <c r="AB51" s="322"/>
      <c r="AC51" s="335">
        <v>0.79166666666666663</v>
      </c>
      <c r="AD51" s="324"/>
      <c r="AE51" s="326" t="s">
        <v>40</v>
      </c>
      <c r="AF51" s="391"/>
      <c r="AG51" s="393" t="str">
        <f t="shared" ref="AG51" si="43">Z51</f>
        <v>D:ガネーシャ今出川</v>
      </c>
      <c r="AH51" s="396" t="s">
        <v>66</v>
      </c>
      <c r="AI51" s="397" t="str">
        <f t="shared" ref="AI51" si="44">AE51</f>
        <v>075-366-6122</v>
      </c>
    </row>
    <row r="52" spans="1:35" ht="11.15" customHeight="1">
      <c r="A52" s="230"/>
      <c r="B52" s="289"/>
      <c r="C52" s="343"/>
      <c r="D52" s="344"/>
      <c r="E52" s="351"/>
      <c r="F52" s="352"/>
      <c r="G52" s="352"/>
      <c r="H52" s="352"/>
      <c r="I52" s="352"/>
      <c r="J52" s="352"/>
      <c r="K52" s="352"/>
      <c r="L52" s="352"/>
      <c r="M52" s="352"/>
      <c r="N52" s="353"/>
      <c r="O52" s="317"/>
      <c r="P52" s="318"/>
      <c r="Q52" s="319"/>
      <c r="R52" s="382"/>
      <c r="S52" s="386"/>
      <c r="T52" s="387"/>
      <c r="U52" s="387"/>
      <c r="V52" s="387"/>
      <c r="W52" s="388"/>
      <c r="X52" s="262"/>
      <c r="Y52" s="262"/>
      <c r="Z52" s="357"/>
      <c r="AA52" s="358"/>
      <c r="AB52" s="359"/>
      <c r="AC52" s="336"/>
      <c r="AD52" s="337"/>
      <c r="AE52" s="338"/>
      <c r="AF52" s="392"/>
      <c r="AG52" s="393"/>
      <c r="AH52" s="396"/>
      <c r="AI52" s="397"/>
    </row>
    <row r="53" spans="1:35" ht="11.15" customHeight="1">
      <c r="A53" s="228">
        <v>8</v>
      </c>
      <c r="B53" s="231">
        <f>B47+1</f>
        <v>46195</v>
      </c>
      <c r="C53" s="339" t="s">
        <v>119</v>
      </c>
      <c r="D53" s="340"/>
      <c r="E53" s="236" t="s">
        <v>128</v>
      </c>
      <c r="F53" s="237"/>
      <c r="G53" s="237"/>
      <c r="H53" s="237"/>
      <c r="I53" s="237"/>
      <c r="J53" s="237"/>
      <c r="K53" s="237"/>
      <c r="L53" s="237"/>
      <c r="M53" s="237"/>
      <c r="N53" s="238"/>
      <c r="O53" s="314" t="s">
        <v>159</v>
      </c>
      <c r="P53" s="315"/>
      <c r="Q53" s="316"/>
      <c r="R53" s="251" t="s">
        <v>136</v>
      </c>
      <c r="S53" s="374"/>
      <c r="T53" s="374"/>
      <c r="U53" s="374"/>
      <c r="V53" s="374"/>
      <c r="W53" s="375"/>
      <c r="X53" s="260" t="s">
        <v>59</v>
      </c>
      <c r="Y53" s="260"/>
      <c r="Z53" s="398" t="s">
        <v>17</v>
      </c>
      <c r="AA53" s="399"/>
      <c r="AB53" s="400"/>
      <c r="AC53" s="394">
        <v>0.28125</v>
      </c>
      <c r="AD53" s="224"/>
      <c r="AE53" s="395"/>
      <c r="AF53" s="226">
        <f t="shared" ref="AF53" si="45">B53</f>
        <v>46195</v>
      </c>
      <c r="AG53" s="217" t="str">
        <f t="shared" ref="AG53" si="46">Z53</f>
        <v>B:ホテル</v>
      </c>
      <c r="AH53" s="207"/>
      <c r="AI53" s="208">
        <f t="shared" ref="AI53" si="47">AE53</f>
        <v>0</v>
      </c>
    </row>
    <row r="54" spans="1:35" ht="11.15" customHeight="1">
      <c r="A54" s="229"/>
      <c r="B54" s="232"/>
      <c r="C54" s="341"/>
      <c r="D54" s="342"/>
      <c r="E54" s="239"/>
      <c r="F54" s="240"/>
      <c r="G54" s="240"/>
      <c r="H54" s="240"/>
      <c r="I54" s="240"/>
      <c r="J54" s="240"/>
      <c r="K54" s="240"/>
      <c r="L54" s="240"/>
      <c r="M54" s="240"/>
      <c r="N54" s="241"/>
      <c r="O54" s="317"/>
      <c r="P54" s="318"/>
      <c r="Q54" s="319"/>
      <c r="R54" s="376"/>
      <c r="S54" s="377"/>
      <c r="T54" s="377"/>
      <c r="U54" s="377"/>
      <c r="V54" s="377"/>
      <c r="W54" s="378"/>
      <c r="X54" s="261"/>
      <c r="Y54" s="261"/>
      <c r="Z54" s="320"/>
      <c r="AA54" s="321"/>
      <c r="AB54" s="322"/>
      <c r="AC54" s="214"/>
      <c r="AD54" s="213"/>
      <c r="AE54" s="326"/>
      <c r="AF54" s="227"/>
      <c r="AG54" s="217"/>
      <c r="AH54" s="207"/>
      <c r="AI54" s="208"/>
    </row>
    <row r="55" spans="1:35" ht="11.15" customHeight="1">
      <c r="A55" s="229"/>
      <c r="B55" s="232"/>
      <c r="C55" s="341"/>
      <c r="D55" s="342"/>
      <c r="E55" s="239"/>
      <c r="F55" s="240"/>
      <c r="G55" s="240"/>
      <c r="H55" s="240"/>
      <c r="I55" s="240"/>
      <c r="J55" s="240"/>
      <c r="K55" s="240"/>
      <c r="L55" s="240"/>
      <c r="M55" s="240"/>
      <c r="N55" s="241"/>
      <c r="O55" s="317"/>
      <c r="P55" s="318"/>
      <c r="Q55" s="319"/>
      <c r="R55" s="376"/>
      <c r="S55" s="377"/>
      <c r="T55" s="377"/>
      <c r="U55" s="377"/>
      <c r="V55" s="377"/>
      <c r="W55" s="378"/>
      <c r="X55" s="261"/>
      <c r="Y55" s="261"/>
      <c r="Z55" s="401" t="s">
        <v>126</v>
      </c>
      <c r="AA55" s="402"/>
      <c r="AB55" s="403"/>
      <c r="AC55" s="212">
        <v>0.52777777777777779</v>
      </c>
      <c r="AD55" s="213"/>
      <c r="AE55" s="326" t="s">
        <v>63</v>
      </c>
      <c r="AF55" s="226"/>
      <c r="AG55" s="217" t="str">
        <f t="shared" ref="AG55" si="48">Z55</f>
        <v>L:パムズ・ダイン・アンド・グリル</v>
      </c>
      <c r="AH55" s="298" t="s">
        <v>125</v>
      </c>
      <c r="AI55" s="208" t="str">
        <f t="shared" ref="AI55" si="49">AE55</f>
        <v>0460-83-3955</v>
      </c>
    </row>
    <row r="56" spans="1:35" ht="11.15" customHeight="1">
      <c r="A56" s="229"/>
      <c r="B56" s="232"/>
      <c r="C56" s="341"/>
      <c r="D56" s="342"/>
      <c r="E56" s="239"/>
      <c r="F56" s="240"/>
      <c r="G56" s="240"/>
      <c r="H56" s="240"/>
      <c r="I56" s="240"/>
      <c r="J56" s="240"/>
      <c r="K56" s="240"/>
      <c r="L56" s="240"/>
      <c r="M56" s="240"/>
      <c r="N56" s="241"/>
      <c r="O56" s="317"/>
      <c r="P56" s="318"/>
      <c r="Q56" s="319"/>
      <c r="R56" s="379"/>
      <c r="S56" s="380"/>
      <c r="T56" s="380"/>
      <c r="U56" s="380"/>
      <c r="V56" s="380"/>
      <c r="W56" s="381"/>
      <c r="X56" s="261"/>
      <c r="Y56" s="261"/>
      <c r="Z56" s="401"/>
      <c r="AA56" s="402"/>
      <c r="AB56" s="403"/>
      <c r="AC56" s="214"/>
      <c r="AD56" s="213"/>
      <c r="AE56" s="326"/>
      <c r="AF56" s="227"/>
      <c r="AG56" s="217"/>
      <c r="AH56" s="298"/>
      <c r="AI56" s="208"/>
    </row>
    <row r="57" spans="1:35" ht="11.15" customHeight="1">
      <c r="A57" s="229"/>
      <c r="B57" s="288" t="str">
        <f>TEXT(B53,"(aaa)")</f>
        <v>(月)</v>
      </c>
      <c r="C57" s="341"/>
      <c r="D57" s="342"/>
      <c r="E57" s="239"/>
      <c r="F57" s="240"/>
      <c r="G57" s="240"/>
      <c r="H57" s="240"/>
      <c r="I57" s="240"/>
      <c r="J57" s="240"/>
      <c r="K57" s="240"/>
      <c r="L57" s="240"/>
      <c r="M57" s="240"/>
      <c r="N57" s="241"/>
      <c r="O57" s="317"/>
      <c r="P57" s="318"/>
      <c r="Q57" s="319"/>
      <c r="R57" s="290" t="s">
        <v>137</v>
      </c>
      <c r="S57" s="292" t="s">
        <v>138</v>
      </c>
      <c r="T57" s="384"/>
      <c r="U57" s="384"/>
      <c r="V57" s="384"/>
      <c r="W57" s="385"/>
      <c r="X57" s="261"/>
      <c r="Y57" s="261"/>
      <c r="Z57" s="320" t="s">
        <v>143</v>
      </c>
      <c r="AA57" s="321"/>
      <c r="AB57" s="322"/>
      <c r="AC57" s="212">
        <v>0.79166666666666663</v>
      </c>
      <c r="AD57" s="213"/>
      <c r="AE57" s="326" t="s">
        <v>144</v>
      </c>
      <c r="AF57" s="226"/>
      <c r="AG57" s="217" t="str">
        <f t="shared" ref="AG57" si="50">Z57</f>
        <v>D:バルティヤ・ザイカ平塚店</v>
      </c>
      <c r="AH57" s="298" t="s">
        <v>145</v>
      </c>
      <c r="AI57" s="208" t="str">
        <f t="shared" ref="AI57" si="51">AE57</f>
        <v>0463-20-8181</v>
      </c>
    </row>
    <row r="58" spans="1:35" ht="11.15" customHeight="1">
      <c r="A58" s="230"/>
      <c r="B58" s="289"/>
      <c r="C58" s="343"/>
      <c r="D58" s="344"/>
      <c r="E58" s="242"/>
      <c r="F58" s="243"/>
      <c r="G58" s="243"/>
      <c r="H58" s="243"/>
      <c r="I58" s="243"/>
      <c r="J58" s="243"/>
      <c r="K58" s="243"/>
      <c r="L58" s="243"/>
      <c r="M58" s="243"/>
      <c r="N58" s="244"/>
      <c r="O58" s="317"/>
      <c r="P58" s="318"/>
      <c r="Q58" s="319"/>
      <c r="R58" s="382"/>
      <c r="S58" s="386"/>
      <c r="T58" s="387"/>
      <c r="U58" s="387"/>
      <c r="V58" s="387"/>
      <c r="W58" s="388"/>
      <c r="X58" s="262"/>
      <c r="Y58" s="262"/>
      <c r="Z58" s="357"/>
      <c r="AA58" s="358"/>
      <c r="AB58" s="359"/>
      <c r="AC58" s="266"/>
      <c r="AD58" s="267"/>
      <c r="AE58" s="338"/>
      <c r="AF58" s="227"/>
      <c r="AG58" s="217"/>
      <c r="AH58" s="298"/>
      <c r="AI58" s="208"/>
    </row>
    <row r="59" spans="1:35" ht="11.15" customHeight="1">
      <c r="A59" s="228">
        <v>9</v>
      </c>
      <c r="B59" s="231">
        <f>B53+1</f>
        <v>46196</v>
      </c>
      <c r="C59" s="339" t="s">
        <v>115</v>
      </c>
      <c r="D59" s="340"/>
      <c r="E59" s="404" t="s">
        <v>129</v>
      </c>
      <c r="F59" s="405"/>
      <c r="G59" s="405"/>
      <c r="H59" s="405"/>
      <c r="I59" s="405"/>
      <c r="J59" s="405"/>
      <c r="K59" s="405"/>
      <c r="L59" s="405"/>
      <c r="M59" s="405"/>
      <c r="N59" s="406"/>
      <c r="O59" s="314"/>
      <c r="P59" s="315"/>
      <c r="Q59" s="316"/>
      <c r="R59" s="251" t="s">
        <v>121</v>
      </c>
      <c r="S59" s="374"/>
      <c r="T59" s="374"/>
      <c r="U59" s="374"/>
      <c r="V59" s="374"/>
      <c r="W59" s="375"/>
      <c r="X59" s="260" t="s">
        <v>59</v>
      </c>
      <c r="Y59" s="260"/>
      <c r="Z59" s="398" t="s">
        <v>17</v>
      </c>
      <c r="AA59" s="399"/>
      <c r="AB59" s="400"/>
      <c r="AC59" s="394">
        <v>0.29166666666666669</v>
      </c>
      <c r="AD59" s="224"/>
      <c r="AE59" s="395"/>
      <c r="AF59" s="226">
        <f t="shared" ref="AF59" si="52">B59</f>
        <v>46196</v>
      </c>
      <c r="AG59" s="217" t="str">
        <f t="shared" ref="AG59" si="53">Z59</f>
        <v>B:ホテル</v>
      </c>
      <c r="AH59" s="207"/>
      <c r="AI59" s="208">
        <f t="shared" ref="AI59" si="54">AE59</f>
        <v>0</v>
      </c>
    </row>
    <row r="60" spans="1:35" ht="11.15" customHeight="1">
      <c r="A60" s="229"/>
      <c r="B60" s="232"/>
      <c r="C60" s="341"/>
      <c r="D60" s="342"/>
      <c r="E60" s="407"/>
      <c r="F60" s="408"/>
      <c r="G60" s="408"/>
      <c r="H60" s="408"/>
      <c r="I60" s="408"/>
      <c r="J60" s="408"/>
      <c r="K60" s="408"/>
      <c r="L60" s="408"/>
      <c r="M60" s="408"/>
      <c r="N60" s="409"/>
      <c r="O60" s="317"/>
      <c r="P60" s="318"/>
      <c r="Q60" s="319"/>
      <c r="R60" s="376"/>
      <c r="S60" s="377"/>
      <c r="T60" s="377"/>
      <c r="U60" s="377"/>
      <c r="V60" s="377"/>
      <c r="W60" s="378"/>
      <c r="X60" s="261"/>
      <c r="Y60" s="261"/>
      <c r="Z60" s="320"/>
      <c r="AA60" s="321"/>
      <c r="AB60" s="322"/>
      <c r="AC60" s="214"/>
      <c r="AD60" s="213"/>
      <c r="AE60" s="326"/>
      <c r="AF60" s="227"/>
      <c r="AG60" s="217"/>
      <c r="AH60" s="207"/>
      <c r="AI60" s="208"/>
    </row>
    <row r="61" spans="1:35" ht="11.15" customHeight="1">
      <c r="A61" s="229"/>
      <c r="B61" s="232"/>
      <c r="C61" s="341"/>
      <c r="D61" s="342"/>
      <c r="E61" s="407"/>
      <c r="F61" s="408"/>
      <c r="G61" s="408"/>
      <c r="H61" s="408"/>
      <c r="I61" s="408"/>
      <c r="J61" s="408"/>
      <c r="K61" s="408"/>
      <c r="L61" s="408"/>
      <c r="M61" s="408"/>
      <c r="N61" s="409"/>
      <c r="O61" s="317"/>
      <c r="P61" s="318"/>
      <c r="Q61" s="319"/>
      <c r="R61" s="376"/>
      <c r="S61" s="377"/>
      <c r="T61" s="377"/>
      <c r="U61" s="377"/>
      <c r="V61" s="377"/>
      <c r="W61" s="378"/>
      <c r="X61" s="261"/>
      <c r="Y61" s="261"/>
      <c r="Z61" s="320" t="s">
        <v>65</v>
      </c>
      <c r="AA61" s="321"/>
      <c r="AB61" s="322"/>
      <c r="AC61" s="212">
        <v>0.52083333333333337</v>
      </c>
      <c r="AD61" s="213"/>
      <c r="AE61" s="326" t="s">
        <v>64</v>
      </c>
      <c r="AF61" s="226"/>
      <c r="AG61" s="217" t="str">
        <f t="shared" ref="AG61" si="55">Z61</f>
        <v>L:サナム山中湖</v>
      </c>
      <c r="AH61" s="298" t="s">
        <v>127</v>
      </c>
      <c r="AI61" s="208" t="str">
        <f t="shared" ref="AI61" si="56">AE61</f>
        <v>0555-25-7033</v>
      </c>
    </row>
    <row r="62" spans="1:35" ht="11.15" customHeight="1">
      <c r="A62" s="229"/>
      <c r="B62" s="232"/>
      <c r="C62" s="341"/>
      <c r="D62" s="342"/>
      <c r="E62" s="407"/>
      <c r="F62" s="408"/>
      <c r="G62" s="408"/>
      <c r="H62" s="408"/>
      <c r="I62" s="408"/>
      <c r="J62" s="408"/>
      <c r="K62" s="408"/>
      <c r="L62" s="408"/>
      <c r="M62" s="408"/>
      <c r="N62" s="409"/>
      <c r="O62" s="317"/>
      <c r="P62" s="318"/>
      <c r="Q62" s="319"/>
      <c r="R62" s="379"/>
      <c r="S62" s="380"/>
      <c r="T62" s="380"/>
      <c r="U62" s="380"/>
      <c r="V62" s="380"/>
      <c r="W62" s="381"/>
      <c r="X62" s="261"/>
      <c r="Y62" s="261"/>
      <c r="Z62" s="320"/>
      <c r="AA62" s="321"/>
      <c r="AB62" s="322"/>
      <c r="AC62" s="214"/>
      <c r="AD62" s="213"/>
      <c r="AE62" s="326"/>
      <c r="AF62" s="227"/>
      <c r="AG62" s="217"/>
      <c r="AH62" s="298"/>
      <c r="AI62" s="208"/>
    </row>
    <row r="63" spans="1:35" ht="11.15" customHeight="1">
      <c r="A63" s="229"/>
      <c r="B63" s="288" t="str">
        <f>TEXT(B59,"(aaa)")</f>
        <v>(火)</v>
      </c>
      <c r="C63" s="341"/>
      <c r="D63" s="342"/>
      <c r="E63" s="407"/>
      <c r="F63" s="408"/>
      <c r="G63" s="408"/>
      <c r="H63" s="408"/>
      <c r="I63" s="408"/>
      <c r="J63" s="408"/>
      <c r="K63" s="408"/>
      <c r="L63" s="408"/>
      <c r="M63" s="408"/>
      <c r="N63" s="409"/>
      <c r="O63" s="317"/>
      <c r="P63" s="318"/>
      <c r="Q63" s="319"/>
      <c r="R63" s="290" t="s">
        <v>76</v>
      </c>
      <c r="S63" s="292" t="s">
        <v>120</v>
      </c>
      <c r="T63" s="384"/>
      <c r="U63" s="384"/>
      <c r="V63" s="384"/>
      <c r="W63" s="385"/>
      <c r="X63" s="261"/>
      <c r="Y63" s="261"/>
      <c r="Z63" s="320" t="s">
        <v>151</v>
      </c>
      <c r="AA63" s="321"/>
      <c r="AB63" s="322"/>
      <c r="AC63" s="212">
        <v>0.79166666666666663</v>
      </c>
      <c r="AD63" s="213"/>
      <c r="AE63" s="326" t="s">
        <v>147</v>
      </c>
      <c r="AF63" s="226"/>
      <c r="AG63" s="217" t="str">
        <f t="shared" ref="AG63" si="57">Z63</f>
        <v>D:モリンガ西葛西</v>
      </c>
      <c r="AH63" s="298" t="s">
        <v>148</v>
      </c>
      <c r="AI63" s="208" t="str">
        <f t="shared" ref="AI63" si="58">AE63</f>
        <v>03-6770-9006</v>
      </c>
    </row>
    <row r="64" spans="1:35" ht="11.15" customHeight="1">
      <c r="A64" s="230"/>
      <c r="B64" s="289"/>
      <c r="C64" s="343"/>
      <c r="D64" s="344"/>
      <c r="E64" s="410"/>
      <c r="F64" s="411"/>
      <c r="G64" s="411"/>
      <c r="H64" s="411"/>
      <c r="I64" s="411"/>
      <c r="J64" s="411"/>
      <c r="K64" s="411"/>
      <c r="L64" s="411"/>
      <c r="M64" s="411"/>
      <c r="N64" s="412"/>
      <c r="O64" s="317"/>
      <c r="P64" s="318"/>
      <c r="Q64" s="319"/>
      <c r="R64" s="382"/>
      <c r="S64" s="386"/>
      <c r="T64" s="387"/>
      <c r="U64" s="387"/>
      <c r="V64" s="387"/>
      <c r="W64" s="388"/>
      <c r="X64" s="262"/>
      <c r="Y64" s="262"/>
      <c r="Z64" s="357"/>
      <c r="AA64" s="358"/>
      <c r="AB64" s="359"/>
      <c r="AC64" s="266"/>
      <c r="AD64" s="267"/>
      <c r="AE64" s="338"/>
      <c r="AF64" s="227"/>
      <c r="AG64" s="217"/>
      <c r="AH64" s="298"/>
      <c r="AI64" s="208"/>
    </row>
    <row r="65" spans="1:35" ht="11.15" customHeight="1">
      <c r="A65" s="228">
        <v>10</v>
      </c>
      <c r="B65" s="231">
        <f t="shared" ref="B65" si="59">B59+1</f>
        <v>46197</v>
      </c>
      <c r="C65" s="339" t="s">
        <v>115</v>
      </c>
      <c r="D65" s="340"/>
      <c r="E65" s="345" t="s">
        <v>81</v>
      </c>
      <c r="F65" s="346"/>
      <c r="G65" s="346"/>
      <c r="H65" s="346"/>
      <c r="I65" s="346"/>
      <c r="J65" s="346"/>
      <c r="K65" s="346"/>
      <c r="L65" s="346"/>
      <c r="M65" s="346"/>
      <c r="N65" s="347"/>
      <c r="O65" s="314" t="s">
        <v>333</v>
      </c>
      <c r="P65" s="315"/>
      <c r="Q65" s="316"/>
      <c r="R65" s="251" t="s">
        <v>121</v>
      </c>
      <c r="S65" s="374"/>
      <c r="T65" s="374"/>
      <c r="U65" s="374"/>
      <c r="V65" s="374"/>
      <c r="W65" s="375"/>
      <c r="X65" s="260" t="s">
        <v>59</v>
      </c>
      <c r="Y65" s="260"/>
      <c r="Z65" s="398" t="s">
        <v>17</v>
      </c>
      <c r="AA65" s="399"/>
      <c r="AB65" s="400"/>
      <c r="AC65" s="372">
        <v>0.27083333333333331</v>
      </c>
      <c r="AD65" s="373"/>
      <c r="AE65" s="395"/>
      <c r="AF65" s="226">
        <f t="shared" ref="AF65" si="60">B65</f>
        <v>46197</v>
      </c>
      <c r="AG65" s="217" t="str">
        <f t="shared" ref="AG65" si="61">Z65</f>
        <v>B:ホテル</v>
      </c>
      <c r="AH65" s="207"/>
      <c r="AI65" s="208">
        <f t="shared" ref="AI65" si="62">AE65</f>
        <v>0</v>
      </c>
    </row>
    <row r="66" spans="1:35" ht="11.15" customHeight="1">
      <c r="A66" s="229"/>
      <c r="B66" s="232"/>
      <c r="C66" s="341"/>
      <c r="D66" s="342"/>
      <c r="E66" s="348"/>
      <c r="F66" s="349"/>
      <c r="G66" s="349"/>
      <c r="H66" s="349"/>
      <c r="I66" s="349"/>
      <c r="J66" s="349"/>
      <c r="K66" s="349"/>
      <c r="L66" s="349"/>
      <c r="M66" s="349"/>
      <c r="N66" s="350"/>
      <c r="O66" s="317"/>
      <c r="P66" s="318"/>
      <c r="Q66" s="319"/>
      <c r="R66" s="376"/>
      <c r="S66" s="377"/>
      <c r="T66" s="377"/>
      <c r="U66" s="377"/>
      <c r="V66" s="377"/>
      <c r="W66" s="378"/>
      <c r="X66" s="261"/>
      <c r="Y66" s="261"/>
      <c r="Z66" s="320"/>
      <c r="AA66" s="321"/>
      <c r="AB66" s="322"/>
      <c r="AC66" s="325"/>
      <c r="AD66" s="324"/>
      <c r="AE66" s="326"/>
      <c r="AF66" s="227"/>
      <c r="AG66" s="217"/>
      <c r="AH66" s="207"/>
      <c r="AI66" s="208"/>
    </row>
    <row r="67" spans="1:35" ht="11.15" customHeight="1">
      <c r="A67" s="229"/>
      <c r="B67" s="232"/>
      <c r="C67" s="341"/>
      <c r="D67" s="342"/>
      <c r="E67" s="348"/>
      <c r="F67" s="349"/>
      <c r="G67" s="349"/>
      <c r="H67" s="349"/>
      <c r="I67" s="349"/>
      <c r="J67" s="349"/>
      <c r="K67" s="349"/>
      <c r="L67" s="349"/>
      <c r="M67" s="349"/>
      <c r="N67" s="350"/>
      <c r="O67" s="317"/>
      <c r="P67" s="318"/>
      <c r="Q67" s="319"/>
      <c r="R67" s="376"/>
      <c r="S67" s="377"/>
      <c r="T67" s="377"/>
      <c r="U67" s="377"/>
      <c r="V67" s="377"/>
      <c r="W67" s="378"/>
      <c r="X67" s="261"/>
      <c r="Y67" s="261"/>
      <c r="Z67" s="320" t="s">
        <v>80</v>
      </c>
      <c r="AA67" s="321"/>
      <c r="AB67" s="322"/>
      <c r="AC67" s="413" t="s">
        <v>36</v>
      </c>
      <c r="AD67" s="213"/>
      <c r="AE67" s="326"/>
      <c r="AF67" s="226"/>
      <c r="AG67" s="217" t="str">
        <f t="shared" ref="AG67" si="63">Z67</f>
        <v>L:2,500円返金</v>
      </c>
      <c r="AH67" s="298"/>
      <c r="AI67" s="208">
        <f t="shared" ref="AI67" si="64">AE67</f>
        <v>0</v>
      </c>
    </row>
    <row r="68" spans="1:35" ht="11.15" customHeight="1">
      <c r="A68" s="229"/>
      <c r="B68" s="232"/>
      <c r="C68" s="341"/>
      <c r="D68" s="342"/>
      <c r="E68" s="348"/>
      <c r="F68" s="349"/>
      <c r="G68" s="349"/>
      <c r="H68" s="349"/>
      <c r="I68" s="349"/>
      <c r="J68" s="349"/>
      <c r="K68" s="349"/>
      <c r="L68" s="349"/>
      <c r="M68" s="349"/>
      <c r="N68" s="350"/>
      <c r="O68" s="317"/>
      <c r="P68" s="318"/>
      <c r="Q68" s="319"/>
      <c r="R68" s="379"/>
      <c r="S68" s="380"/>
      <c r="T68" s="380"/>
      <c r="U68" s="380"/>
      <c r="V68" s="380"/>
      <c r="W68" s="381"/>
      <c r="X68" s="261"/>
      <c r="Y68" s="261"/>
      <c r="Z68" s="320"/>
      <c r="AA68" s="321"/>
      <c r="AB68" s="322"/>
      <c r="AC68" s="214"/>
      <c r="AD68" s="213"/>
      <c r="AE68" s="326"/>
      <c r="AF68" s="227"/>
      <c r="AG68" s="217"/>
      <c r="AH68" s="298"/>
      <c r="AI68" s="208"/>
    </row>
    <row r="69" spans="1:35" ht="11.15" customHeight="1">
      <c r="A69" s="229"/>
      <c r="B69" s="288" t="str">
        <f>TEXT(B65,"(aaa)")</f>
        <v>(水)</v>
      </c>
      <c r="C69" s="341"/>
      <c r="D69" s="342"/>
      <c r="E69" s="348"/>
      <c r="F69" s="349"/>
      <c r="G69" s="349"/>
      <c r="H69" s="349"/>
      <c r="I69" s="349"/>
      <c r="J69" s="349"/>
      <c r="K69" s="349"/>
      <c r="L69" s="349"/>
      <c r="M69" s="349"/>
      <c r="N69" s="350"/>
      <c r="O69" s="317"/>
      <c r="P69" s="318"/>
      <c r="Q69" s="319"/>
      <c r="R69" s="290" t="s">
        <v>76</v>
      </c>
      <c r="S69" s="292" t="s">
        <v>120</v>
      </c>
      <c r="T69" s="384"/>
      <c r="U69" s="384"/>
      <c r="V69" s="384"/>
      <c r="W69" s="385"/>
      <c r="X69" s="261"/>
      <c r="Y69" s="261"/>
      <c r="Z69" s="320" t="s">
        <v>151</v>
      </c>
      <c r="AA69" s="321"/>
      <c r="AB69" s="322"/>
      <c r="AC69" s="212">
        <v>0.79166666666666663</v>
      </c>
      <c r="AD69" s="213"/>
      <c r="AE69" s="326" t="s">
        <v>147</v>
      </c>
      <c r="AF69" s="226"/>
      <c r="AG69" s="217" t="str">
        <f t="shared" ref="AG69" si="65">Z69</f>
        <v>D:モリンガ西葛西</v>
      </c>
      <c r="AH69" s="298" t="s">
        <v>148</v>
      </c>
      <c r="AI69" s="208" t="str">
        <f t="shared" ref="AI69" si="66">AE69</f>
        <v>03-6770-9006</v>
      </c>
    </row>
    <row r="70" spans="1:35" ht="11.15" customHeight="1">
      <c r="A70" s="230"/>
      <c r="B70" s="289"/>
      <c r="C70" s="343"/>
      <c r="D70" s="344"/>
      <c r="E70" s="351"/>
      <c r="F70" s="352"/>
      <c r="G70" s="352"/>
      <c r="H70" s="352"/>
      <c r="I70" s="352"/>
      <c r="J70" s="352"/>
      <c r="K70" s="352"/>
      <c r="L70" s="352"/>
      <c r="M70" s="352"/>
      <c r="N70" s="353"/>
      <c r="O70" s="317"/>
      <c r="P70" s="318"/>
      <c r="Q70" s="319"/>
      <c r="R70" s="382"/>
      <c r="S70" s="386"/>
      <c r="T70" s="387"/>
      <c r="U70" s="387"/>
      <c r="V70" s="387"/>
      <c r="W70" s="388"/>
      <c r="X70" s="262"/>
      <c r="Y70" s="262"/>
      <c r="Z70" s="357"/>
      <c r="AA70" s="358"/>
      <c r="AB70" s="359"/>
      <c r="AC70" s="266"/>
      <c r="AD70" s="267"/>
      <c r="AE70" s="338"/>
      <c r="AF70" s="227"/>
      <c r="AG70" s="217"/>
      <c r="AH70" s="298"/>
      <c r="AI70" s="208"/>
    </row>
    <row r="71" spans="1:35" ht="11.15" customHeight="1">
      <c r="A71" s="228">
        <v>11</v>
      </c>
      <c r="B71" s="231">
        <f t="shared" ref="B71" si="67">B65+1</f>
        <v>46198</v>
      </c>
      <c r="C71" s="339" t="s">
        <v>115</v>
      </c>
      <c r="D71" s="340"/>
      <c r="E71" s="305" t="s">
        <v>122</v>
      </c>
      <c r="F71" s="306"/>
      <c r="G71" s="306"/>
      <c r="H71" s="306"/>
      <c r="I71" s="306"/>
      <c r="J71" s="306"/>
      <c r="K71" s="306"/>
      <c r="L71" s="306"/>
      <c r="M71" s="306"/>
      <c r="N71" s="307"/>
      <c r="O71" s="414" t="s">
        <v>375</v>
      </c>
      <c r="P71" s="415"/>
      <c r="Q71" s="416"/>
      <c r="R71" s="423" t="s">
        <v>62</v>
      </c>
      <c r="S71" s="252"/>
      <c r="T71" s="252"/>
      <c r="U71" s="252"/>
      <c r="V71" s="252"/>
      <c r="W71" s="253"/>
      <c r="X71" s="424"/>
      <c r="Y71" s="425"/>
      <c r="Z71" s="327" t="s">
        <v>17</v>
      </c>
      <c r="AA71" s="328"/>
      <c r="AB71" s="329"/>
      <c r="AC71" s="372">
        <v>0.27083333333333331</v>
      </c>
      <c r="AD71" s="373"/>
      <c r="AE71" s="334"/>
      <c r="AF71" s="226">
        <f t="shared" ref="AF71" si="68">B71</f>
        <v>46198</v>
      </c>
      <c r="AG71" s="217" t="str">
        <f t="shared" ref="AG71" si="69">Z71</f>
        <v>B:ホテル</v>
      </c>
      <c r="AH71" s="207"/>
      <c r="AI71" s="208">
        <f t="shared" ref="AI71" si="70">AE71</f>
        <v>0</v>
      </c>
    </row>
    <row r="72" spans="1:35" ht="11.15" customHeight="1">
      <c r="A72" s="229"/>
      <c r="B72" s="232"/>
      <c r="C72" s="341"/>
      <c r="D72" s="342"/>
      <c r="E72" s="308"/>
      <c r="F72" s="309"/>
      <c r="G72" s="309"/>
      <c r="H72" s="309"/>
      <c r="I72" s="309"/>
      <c r="J72" s="309"/>
      <c r="K72" s="309"/>
      <c r="L72" s="309"/>
      <c r="M72" s="309"/>
      <c r="N72" s="310"/>
      <c r="O72" s="417"/>
      <c r="P72" s="418"/>
      <c r="Q72" s="419"/>
      <c r="R72" s="254"/>
      <c r="S72" s="255"/>
      <c r="T72" s="255"/>
      <c r="U72" s="255"/>
      <c r="V72" s="255"/>
      <c r="W72" s="256"/>
      <c r="X72" s="426"/>
      <c r="Y72" s="426"/>
      <c r="Z72" s="320"/>
      <c r="AA72" s="321"/>
      <c r="AB72" s="322"/>
      <c r="AC72" s="325"/>
      <c r="AD72" s="324"/>
      <c r="AE72" s="326"/>
      <c r="AF72" s="227"/>
      <c r="AG72" s="217"/>
      <c r="AH72" s="207"/>
      <c r="AI72" s="208"/>
    </row>
    <row r="73" spans="1:35" ht="11.15" customHeight="1">
      <c r="A73" s="229"/>
      <c r="B73" s="232"/>
      <c r="C73" s="341"/>
      <c r="D73" s="342"/>
      <c r="E73" s="308"/>
      <c r="F73" s="309"/>
      <c r="G73" s="309"/>
      <c r="H73" s="309"/>
      <c r="I73" s="309"/>
      <c r="J73" s="309"/>
      <c r="K73" s="309"/>
      <c r="L73" s="309"/>
      <c r="M73" s="309"/>
      <c r="N73" s="310"/>
      <c r="O73" s="417"/>
      <c r="P73" s="418"/>
      <c r="Q73" s="419"/>
      <c r="R73" s="254"/>
      <c r="S73" s="255"/>
      <c r="T73" s="255"/>
      <c r="U73" s="255"/>
      <c r="V73" s="255"/>
      <c r="W73" s="256"/>
      <c r="X73" s="427"/>
      <c r="Y73" s="427"/>
      <c r="Z73" s="320" t="s">
        <v>43</v>
      </c>
      <c r="AA73" s="321"/>
      <c r="AB73" s="322"/>
      <c r="AC73" s="413" t="s">
        <v>36</v>
      </c>
      <c r="AD73" s="213"/>
      <c r="AE73" s="215"/>
      <c r="AF73" s="226"/>
      <c r="AG73" s="217" t="str">
        <f t="shared" ref="AG73" si="71">Z73</f>
        <v>L:X</v>
      </c>
      <c r="AH73" s="298"/>
      <c r="AI73" s="208">
        <f t="shared" ref="AI73" si="72">AE73</f>
        <v>0</v>
      </c>
    </row>
    <row r="74" spans="1:35" ht="11.15" customHeight="1">
      <c r="A74" s="229"/>
      <c r="B74" s="232"/>
      <c r="C74" s="341"/>
      <c r="D74" s="342"/>
      <c r="E74" s="429" t="s">
        <v>79</v>
      </c>
      <c r="F74" s="430"/>
      <c r="G74" s="430"/>
      <c r="H74" s="430"/>
      <c r="I74" s="430"/>
      <c r="J74" s="430"/>
      <c r="K74" s="430"/>
      <c r="L74" s="430"/>
      <c r="M74" s="430"/>
      <c r="N74" s="431"/>
      <c r="O74" s="417"/>
      <c r="P74" s="418"/>
      <c r="Q74" s="419"/>
      <c r="R74" s="257"/>
      <c r="S74" s="258"/>
      <c r="T74" s="258"/>
      <c r="U74" s="258"/>
      <c r="V74" s="258"/>
      <c r="W74" s="259"/>
      <c r="X74" s="427"/>
      <c r="Y74" s="427"/>
      <c r="Z74" s="320"/>
      <c r="AA74" s="321"/>
      <c r="AB74" s="322"/>
      <c r="AC74" s="214"/>
      <c r="AD74" s="213"/>
      <c r="AE74" s="215"/>
      <c r="AF74" s="227"/>
      <c r="AG74" s="217"/>
      <c r="AH74" s="298"/>
      <c r="AI74" s="208"/>
    </row>
    <row r="75" spans="1:35" ht="11.15" customHeight="1">
      <c r="A75" s="229"/>
      <c r="B75" s="288" t="str">
        <f>TEXT(B71,"(aaa)")</f>
        <v>(木)</v>
      </c>
      <c r="C75" s="341"/>
      <c r="D75" s="342"/>
      <c r="E75" s="429"/>
      <c r="F75" s="430"/>
      <c r="G75" s="430"/>
      <c r="H75" s="430"/>
      <c r="I75" s="430"/>
      <c r="J75" s="430"/>
      <c r="K75" s="430"/>
      <c r="L75" s="430"/>
      <c r="M75" s="430"/>
      <c r="N75" s="431"/>
      <c r="O75" s="417"/>
      <c r="P75" s="418"/>
      <c r="Q75" s="419"/>
      <c r="R75" s="385"/>
      <c r="S75" s="292"/>
      <c r="T75" s="293"/>
      <c r="U75" s="293"/>
      <c r="V75" s="293"/>
      <c r="W75" s="294"/>
      <c r="X75" s="427"/>
      <c r="Y75" s="427"/>
      <c r="Z75" s="320" t="s">
        <v>44</v>
      </c>
      <c r="AA75" s="321"/>
      <c r="AB75" s="322"/>
      <c r="AC75" s="413" t="s">
        <v>36</v>
      </c>
      <c r="AD75" s="213"/>
      <c r="AE75" s="215"/>
      <c r="AF75" s="217"/>
      <c r="AG75" s="217" t="str">
        <f t="shared" ref="AG75" si="73">Z75</f>
        <v>D:X</v>
      </c>
      <c r="AH75" s="298"/>
      <c r="AI75" s="208">
        <f t="shared" ref="AI75" si="74">AE75</f>
        <v>0</v>
      </c>
    </row>
    <row r="76" spans="1:35" ht="11.15" customHeight="1">
      <c r="A76" s="230"/>
      <c r="B76" s="289"/>
      <c r="C76" s="343"/>
      <c r="D76" s="344"/>
      <c r="E76" s="432"/>
      <c r="F76" s="433"/>
      <c r="G76" s="433"/>
      <c r="H76" s="433"/>
      <c r="I76" s="433"/>
      <c r="J76" s="433"/>
      <c r="K76" s="433"/>
      <c r="L76" s="433"/>
      <c r="M76" s="433"/>
      <c r="N76" s="434"/>
      <c r="O76" s="420"/>
      <c r="P76" s="421"/>
      <c r="Q76" s="422"/>
      <c r="R76" s="297"/>
      <c r="S76" s="295"/>
      <c r="T76" s="296"/>
      <c r="U76" s="296"/>
      <c r="V76" s="296"/>
      <c r="W76" s="297"/>
      <c r="X76" s="428"/>
      <c r="Y76" s="428"/>
      <c r="Z76" s="357"/>
      <c r="AA76" s="358"/>
      <c r="AB76" s="359"/>
      <c r="AC76" s="266"/>
      <c r="AD76" s="267"/>
      <c r="AE76" s="268"/>
      <c r="AF76" s="217"/>
      <c r="AG76" s="217"/>
      <c r="AH76" s="298"/>
      <c r="AI76" s="208"/>
    </row>
    <row r="77" spans="1:35" ht="15" customHeight="1">
      <c r="A77" s="11" t="s">
        <v>47</v>
      </c>
      <c r="B77" s="12"/>
      <c r="C77" s="6"/>
      <c r="D77" s="6"/>
      <c r="E77" s="13"/>
      <c r="F77" s="13"/>
      <c r="G77" s="13"/>
      <c r="H77" s="13"/>
      <c r="I77" s="13"/>
      <c r="J77" s="13"/>
      <c r="K77" s="13"/>
      <c r="L77" s="13"/>
      <c r="M77" s="13"/>
      <c r="N77" s="13"/>
      <c r="O77" s="2"/>
      <c r="P77" s="2"/>
      <c r="Q77" s="2"/>
      <c r="R77" s="14"/>
      <c r="S77" s="15"/>
      <c r="T77" s="15"/>
      <c r="U77" s="17"/>
      <c r="V77" s="15"/>
      <c r="W77" s="15"/>
      <c r="X77" s="17"/>
      <c r="Y77" s="129"/>
      <c r="Z77" s="130"/>
      <c r="AA77" s="130"/>
      <c r="AB77" s="130"/>
      <c r="AC77" s="131"/>
      <c r="AD77" s="131"/>
      <c r="AE77" s="18"/>
      <c r="AF77"/>
      <c r="AG77"/>
      <c r="AH77"/>
      <c r="AI77"/>
    </row>
    <row r="78" spans="1:35" ht="15" customHeight="1">
      <c r="A78" s="16" t="s">
        <v>34</v>
      </c>
      <c r="B78" s="12"/>
      <c r="C78" s="6"/>
      <c r="D78" s="6"/>
      <c r="E78" s="13"/>
      <c r="F78" s="13"/>
      <c r="G78" s="13"/>
      <c r="H78" s="13"/>
      <c r="I78" s="13"/>
      <c r="J78" s="13"/>
      <c r="K78" s="13"/>
      <c r="L78" s="13"/>
      <c r="M78" s="13"/>
      <c r="N78" s="13"/>
      <c r="O78" s="2"/>
      <c r="P78" s="2"/>
      <c r="Q78" s="2"/>
      <c r="R78" s="14"/>
      <c r="S78" s="15"/>
      <c r="T78" s="15"/>
      <c r="U78" s="132"/>
      <c r="V78" s="15"/>
      <c r="W78" s="15"/>
      <c r="X78" s="17"/>
      <c r="Y78" s="129"/>
      <c r="Z78" s="133"/>
      <c r="AA78" s="130"/>
      <c r="AB78" s="130"/>
      <c r="AC78" s="131"/>
      <c r="AD78" s="131"/>
      <c r="AE78" s="18"/>
      <c r="AF78"/>
      <c r="AG78"/>
      <c r="AH78"/>
      <c r="AI78"/>
    </row>
    <row r="79" spans="1:35" ht="15" customHeight="1">
      <c r="A79" s="16" t="s">
        <v>35</v>
      </c>
      <c r="B79" s="12"/>
      <c r="C79" s="6"/>
      <c r="D79" s="6"/>
      <c r="E79" s="13"/>
      <c r="F79" s="13"/>
      <c r="G79" s="13"/>
      <c r="H79" s="13"/>
      <c r="I79" s="13"/>
      <c r="J79" s="13"/>
      <c r="K79" s="13"/>
      <c r="L79" s="13"/>
      <c r="M79" s="13"/>
      <c r="N79" s="13"/>
      <c r="O79" s="2"/>
      <c r="P79" s="2"/>
      <c r="Q79" s="2"/>
      <c r="R79" s="14"/>
      <c r="S79" s="15"/>
      <c r="T79" s="15"/>
      <c r="U79" s="121"/>
      <c r="V79" s="19"/>
      <c r="W79" s="19"/>
      <c r="X79" s="17"/>
      <c r="Y79" s="19"/>
      <c r="Z79" s="19"/>
      <c r="AA79" s="19"/>
      <c r="AB79" s="19"/>
      <c r="AC79" s="19"/>
      <c r="AD79" s="19"/>
      <c r="AE79" s="18"/>
      <c r="AF79"/>
      <c r="AG79"/>
      <c r="AH79"/>
      <c r="AI79"/>
    </row>
    <row r="80" spans="1:35" ht="15" customHeight="1">
      <c r="A80" s="16" t="s">
        <v>46</v>
      </c>
      <c r="B80" s="20"/>
      <c r="C80" s="6"/>
      <c r="D80" s="6"/>
      <c r="E80" s="13"/>
      <c r="F80" s="13"/>
      <c r="G80" s="13"/>
      <c r="H80" s="13"/>
      <c r="I80" s="13"/>
      <c r="J80" s="13"/>
      <c r="K80" s="2"/>
      <c r="L80" s="21"/>
      <c r="M80" s="13"/>
      <c r="N80" s="13"/>
      <c r="O80" s="2"/>
      <c r="P80" s="2"/>
      <c r="Q80" s="2"/>
      <c r="R80" s="14"/>
      <c r="S80" s="15"/>
      <c r="T80" s="15"/>
      <c r="U80" s="17"/>
      <c r="V80" s="15"/>
      <c r="W80" s="19"/>
      <c r="X80" s="19"/>
      <c r="Y80" s="19"/>
      <c r="Z80" s="19"/>
      <c r="AA80" s="19"/>
      <c r="AB80" s="19"/>
      <c r="AC80" s="19"/>
      <c r="AD80" s="19"/>
      <c r="AE80" s="18"/>
      <c r="AF80"/>
      <c r="AG80"/>
      <c r="AH80"/>
      <c r="AI80"/>
    </row>
    <row r="81" spans="1:35" ht="15" customHeight="1">
      <c r="A81" s="22"/>
      <c r="B81" s="27" t="s">
        <v>133</v>
      </c>
      <c r="C81" s="8"/>
      <c r="D81" s="23"/>
      <c r="E81" s="23"/>
      <c r="F81" s="24"/>
      <c r="G81" s="111"/>
      <c r="H81" s="111"/>
      <c r="I81" s="111"/>
      <c r="J81" s="119" t="s">
        <v>135</v>
      </c>
      <c r="K81" s="2"/>
      <c r="L81" s="112"/>
      <c r="M81" s="113"/>
      <c r="N81" s="110"/>
      <c r="O81" s="2"/>
      <c r="P81" s="110"/>
      <c r="Q81" s="119" t="s">
        <v>134</v>
      </c>
      <c r="R81" s="15"/>
      <c r="S81" s="15"/>
      <c r="T81" s="15"/>
      <c r="U81" s="15"/>
      <c r="V81" s="26"/>
      <c r="W81" s="19"/>
      <c r="X81" s="19"/>
      <c r="Y81" s="19"/>
      <c r="Z81" s="19"/>
      <c r="AA81" s="27"/>
      <c r="AB81" s="14"/>
      <c r="AC81" s="15"/>
      <c r="AD81" s="15"/>
      <c r="AE81" s="107"/>
      <c r="AF81" s="15"/>
      <c r="AG81"/>
      <c r="AH81"/>
      <c r="AI81"/>
    </row>
    <row r="82" spans="1:35" ht="15" customHeight="1">
      <c r="A82" s="126"/>
      <c r="B82" s="109" t="s">
        <v>374</v>
      </c>
      <c r="C82" s="27"/>
      <c r="D82" s="6"/>
      <c r="E82" s="13"/>
      <c r="F82" s="13"/>
      <c r="G82" s="13"/>
      <c r="H82" s="21"/>
      <c r="I82" s="21"/>
      <c r="J82" s="128"/>
      <c r="K82" s="13"/>
      <c r="L82" s="13"/>
      <c r="M82" s="13"/>
      <c r="N82" s="13"/>
      <c r="O82" s="2"/>
      <c r="P82" s="27"/>
      <c r="Q82" s="27"/>
      <c r="R82" s="27"/>
      <c r="S82" s="14"/>
      <c r="T82" s="15"/>
      <c r="U82" s="120"/>
      <c r="V82" s="30"/>
      <c r="W82" s="120" t="s">
        <v>149</v>
      </c>
      <c r="X82" s="30"/>
      <c r="Z82" s="30"/>
      <c r="AA82" s="27"/>
      <c r="AB82" s="14"/>
      <c r="AC82" s="15"/>
      <c r="AD82" s="15"/>
      <c r="AE82" s="107"/>
      <c r="AF82" s="15"/>
      <c r="AG82"/>
      <c r="AH82"/>
      <c r="AI82"/>
    </row>
    <row r="83" spans="1:35" ht="15" customHeight="1">
      <c r="A83" s="127"/>
      <c r="B83" s="31"/>
      <c r="C83" s="19"/>
      <c r="D83" s="19"/>
      <c r="E83" s="19"/>
      <c r="F83" s="19"/>
      <c r="G83" s="19"/>
      <c r="H83" s="19"/>
      <c r="I83" s="19"/>
      <c r="J83" s="25"/>
      <c r="K83" s="25"/>
      <c r="L83" s="25"/>
      <c r="M83" s="25"/>
      <c r="N83" s="25"/>
      <c r="O83" s="28"/>
      <c r="P83" s="28"/>
      <c r="Q83" s="28"/>
      <c r="R83" s="29"/>
      <c r="S83" s="15"/>
      <c r="T83" s="15"/>
      <c r="U83" s="120"/>
      <c r="V83" s="19"/>
      <c r="W83" s="120" t="s">
        <v>150</v>
      </c>
      <c r="X83" s="19"/>
      <c r="Z83" s="19"/>
      <c r="AA83" s="19"/>
      <c r="AB83" s="19"/>
      <c r="AC83" s="19"/>
      <c r="AD83" s="19"/>
      <c r="AE83" s="32"/>
      <c r="AF83"/>
      <c r="AG83"/>
      <c r="AH83"/>
      <c r="AI83"/>
    </row>
    <row r="84" spans="1:35" ht="15" customHeight="1">
      <c r="A84" s="16" t="s">
        <v>174</v>
      </c>
      <c r="B84" s="31"/>
      <c r="C84" s="19"/>
      <c r="D84" s="19"/>
      <c r="E84" s="19"/>
      <c r="F84" s="19"/>
      <c r="G84" s="19"/>
      <c r="H84" s="19"/>
      <c r="I84" s="19"/>
      <c r="J84" s="25"/>
      <c r="K84" s="25"/>
      <c r="L84" s="25"/>
      <c r="M84" s="25"/>
      <c r="N84" s="25"/>
      <c r="O84" s="28"/>
      <c r="P84" s="28"/>
      <c r="Q84" s="28"/>
      <c r="R84" s="29"/>
      <c r="S84" s="15"/>
      <c r="T84" s="15"/>
      <c r="U84" s="17"/>
      <c r="V84" s="15"/>
      <c r="W84" s="116"/>
      <c r="X84" s="19"/>
      <c r="Y84" s="19"/>
      <c r="Z84" s="19"/>
      <c r="AA84" s="19"/>
      <c r="AB84" s="19"/>
      <c r="AC84" s="19"/>
      <c r="AD84" s="19"/>
      <c r="AE84" s="32"/>
      <c r="AF84"/>
      <c r="AG84"/>
      <c r="AH84"/>
      <c r="AI84"/>
    </row>
    <row r="85" spans="1:35" ht="15" customHeight="1">
      <c r="A85" s="134" t="s">
        <v>175</v>
      </c>
      <c r="B85" s="33"/>
      <c r="C85" s="7"/>
      <c r="D85" s="7"/>
      <c r="E85" s="7"/>
      <c r="F85" s="7"/>
      <c r="G85" s="7"/>
      <c r="H85" s="7"/>
      <c r="I85" s="7"/>
      <c r="J85" s="10"/>
      <c r="K85" s="10"/>
      <c r="L85" s="10"/>
      <c r="M85" s="10"/>
      <c r="N85" s="10"/>
      <c r="O85" s="9"/>
      <c r="P85" s="9"/>
      <c r="Q85" s="9"/>
      <c r="R85" s="34"/>
      <c r="S85" s="35"/>
      <c r="T85" s="35"/>
      <c r="U85" s="36"/>
      <c r="V85" s="35"/>
      <c r="W85" s="7"/>
      <c r="X85" s="7"/>
      <c r="Y85" s="7"/>
      <c r="Z85" s="7"/>
      <c r="AA85" s="7"/>
      <c r="AB85" s="7"/>
      <c r="AC85" s="7"/>
      <c r="AD85" s="7"/>
      <c r="AE85" s="1" t="s">
        <v>20</v>
      </c>
      <c r="AF85"/>
      <c r="AG85"/>
      <c r="AH85"/>
      <c r="AI85"/>
    </row>
  </sheetData>
  <mergeCells count="366">
    <mergeCell ref="AG75:AG76"/>
    <mergeCell ref="AH75:AH76"/>
    <mergeCell ref="AI75:AI76"/>
    <mergeCell ref="AH73:AH74"/>
    <mergeCell ref="AI73:AI74"/>
    <mergeCell ref="E74:N76"/>
    <mergeCell ref="B75:B76"/>
    <mergeCell ref="R75:R76"/>
    <mergeCell ref="S75:W76"/>
    <mergeCell ref="Z75:AB76"/>
    <mergeCell ref="AC75:AD76"/>
    <mergeCell ref="AE75:AE76"/>
    <mergeCell ref="AF75:AF76"/>
    <mergeCell ref="AE71:AE72"/>
    <mergeCell ref="AF71:AF72"/>
    <mergeCell ref="AG71:AG72"/>
    <mergeCell ref="AH71:AH72"/>
    <mergeCell ref="AI71:AI72"/>
    <mergeCell ref="Z73:AB74"/>
    <mergeCell ref="AC73:AD74"/>
    <mergeCell ref="AE73:AE74"/>
    <mergeCell ref="AF73:AF74"/>
    <mergeCell ref="AG73:AG74"/>
    <mergeCell ref="A71:A76"/>
    <mergeCell ref="B71:B74"/>
    <mergeCell ref="C71:D76"/>
    <mergeCell ref="E71:N73"/>
    <mergeCell ref="O71:Q76"/>
    <mergeCell ref="R71:W74"/>
    <mergeCell ref="X71:Y76"/>
    <mergeCell ref="Z71:AB72"/>
    <mergeCell ref="AC71:AD72"/>
    <mergeCell ref="AG69:AG70"/>
    <mergeCell ref="AH69:AH70"/>
    <mergeCell ref="Z67:AB68"/>
    <mergeCell ref="AC67:AD68"/>
    <mergeCell ref="AE67:AE68"/>
    <mergeCell ref="AF67:AF68"/>
    <mergeCell ref="AG67:AG68"/>
    <mergeCell ref="AH67:AH68"/>
    <mergeCell ref="AI69:AI70"/>
    <mergeCell ref="AC65:AD66"/>
    <mergeCell ref="AE65:AE66"/>
    <mergeCell ref="AF65:AF66"/>
    <mergeCell ref="AG65:AG66"/>
    <mergeCell ref="AH65:AH66"/>
    <mergeCell ref="AI65:AI66"/>
    <mergeCell ref="AH63:AH64"/>
    <mergeCell ref="AI63:AI64"/>
    <mergeCell ref="A65:A70"/>
    <mergeCell ref="B65:B68"/>
    <mergeCell ref="C65:D70"/>
    <mergeCell ref="E65:N70"/>
    <mergeCell ref="O65:Q70"/>
    <mergeCell ref="R65:W68"/>
    <mergeCell ref="X65:Y70"/>
    <mergeCell ref="Z65:AB66"/>
    <mergeCell ref="AI67:AI68"/>
    <mergeCell ref="B69:B70"/>
    <mergeCell ref="R69:R70"/>
    <mergeCell ref="S69:W70"/>
    <mergeCell ref="Z69:AB70"/>
    <mergeCell ref="AC69:AD70"/>
    <mergeCell ref="AE69:AE70"/>
    <mergeCell ref="AF69:AF70"/>
    <mergeCell ref="AH61:AH62"/>
    <mergeCell ref="AI61:AI62"/>
    <mergeCell ref="B63:B64"/>
    <mergeCell ref="R63:R64"/>
    <mergeCell ref="S63:W64"/>
    <mergeCell ref="Z63:AB64"/>
    <mergeCell ref="AC63:AD64"/>
    <mergeCell ref="AE63:AE64"/>
    <mergeCell ref="AF63:AF64"/>
    <mergeCell ref="AG63:AG64"/>
    <mergeCell ref="AE55:AE56"/>
    <mergeCell ref="AF55:AF56"/>
    <mergeCell ref="AG55:AG56"/>
    <mergeCell ref="AH55:AH56"/>
    <mergeCell ref="AI57:AI58"/>
    <mergeCell ref="A59:A64"/>
    <mergeCell ref="B59:B62"/>
    <mergeCell ref="C59:D64"/>
    <mergeCell ref="E59:N64"/>
    <mergeCell ref="O59:Q64"/>
    <mergeCell ref="R59:W62"/>
    <mergeCell ref="X59:Y64"/>
    <mergeCell ref="Z59:AB60"/>
    <mergeCell ref="AC59:AD60"/>
    <mergeCell ref="AE59:AE60"/>
    <mergeCell ref="AF59:AF60"/>
    <mergeCell ref="AG59:AG60"/>
    <mergeCell ref="AH59:AH60"/>
    <mergeCell ref="AI59:AI60"/>
    <mergeCell ref="Z61:AB62"/>
    <mergeCell ref="AC61:AD62"/>
    <mergeCell ref="AE61:AE62"/>
    <mergeCell ref="AF61:AF62"/>
    <mergeCell ref="AG61:AG62"/>
    <mergeCell ref="AH53:AH54"/>
    <mergeCell ref="AI53:AI54"/>
    <mergeCell ref="AH51:AH52"/>
    <mergeCell ref="AI51:AI52"/>
    <mergeCell ref="A53:A58"/>
    <mergeCell ref="B53:B56"/>
    <mergeCell ref="C53:D58"/>
    <mergeCell ref="E53:N58"/>
    <mergeCell ref="O53:Q58"/>
    <mergeCell ref="R53:W56"/>
    <mergeCell ref="X53:Y58"/>
    <mergeCell ref="Z53:AB54"/>
    <mergeCell ref="AI55:AI56"/>
    <mergeCell ref="B57:B58"/>
    <mergeCell ref="R57:R58"/>
    <mergeCell ref="S57:W58"/>
    <mergeCell ref="Z57:AB58"/>
    <mergeCell ref="AC57:AD58"/>
    <mergeCell ref="AE57:AE58"/>
    <mergeCell ref="AF57:AF58"/>
    <mergeCell ref="AG57:AG58"/>
    <mergeCell ref="AH57:AH58"/>
    <mergeCell ref="Z55:AB56"/>
    <mergeCell ref="AC55:AD56"/>
    <mergeCell ref="S51:W52"/>
    <mergeCell ref="Z51:AB52"/>
    <mergeCell ref="AC51:AD52"/>
    <mergeCell ref="AE51:AE52"/>
    <mergeCell ref="AF51:AF52"/>
    <mergeCell ref="AG51:AG52"/>
    <mergeCell ref="AC53:AD54"/>
    <mergeCell ref="AE53:AE54"/>
    <mergeCell ref="AF53:AF54"/>
    <mergeCell ref="AG53:AG54"/>
    <mergeCell ref="AI45:AI46"/>
    <mergeCell ref="A47:A52"/>
    <mergeCell ref="B47:B50"/>
    <mergeCell ref="C47:D52"/>
    <mergeCell ref="E47:N52"/>
    <mergeCell ref="O47:Q52"/>
    <mergeCell ref="R47:W50"/>
    <mergeCell ref="X47:Y52"/>
    <mergeCell ref="Z47:AB48"/>
    <mergeCell ref="AC47:AD48"/>
    <mergeCell ref="AE47:AE48"/>
    <mergeCell ref="AF47:AF48"/>
    <mergeCell ref="AG47:AG48"/>
    <mergeCell ref="AH47:AH48"/>
    <mergeCell ref="AI47:AI48"/>
    <mergeCell ref="Z49:AB50"/>
    <mergeCell ref="AC49:AD50"/>
    <mergeCell ref="AE49:AE50"/>
    <mergeCell ref="AF49:AF50"/>
    <mergeCell ref="AG49:AG50"/>
    <mergeCell ref="AH49:AH50"/>
    <mergeCell ref="AI49:AI50"/>
    <mergeCell ref="B51:B52"/>
    <mergeCell ref="R51:R52"/>
    <mergeCell ref="A41:A46"/>
    <mergeCell ref="B41:B44"/>
    <mergeCell ref="C41:D46"/>
    <mergeCell ref="E41:N46"/>
    <mergeCell ref="O41:Q46"/>
    <mergeCell ref="R41:W44"/>
    <mergeCell ref="X41:Y46"/>
    <mergeCell ref="Z41:AB42"/>
    <mergeCell ref="AI43:AI44"/>
    <mergeCell ref="B45:B46"/>
    <mergeCell ref="R45:R46"/>
    <mergeCell ref="S45:W46"/>
    <mergeCell ref="Z45:AB46"/>
    <mergeCell ref="AC45:AD46"/>
    <mergeCell ref="AE45:AE46"/>
    <mergeCell ref="AF45:AF46"/>
    <mergeCell ref="AG45:AG46"/>
    <mergeCell ref="AH45:AH46"/>
    <mergeCell ref="Z43:AB44"/>
    <mergeCell ref="AC43:AD44"/>
    <mergeCell ref="AE43:AE44"/>
    <mergeCell ref="AF43:AF44"/>
    <mergeCell ref="AG43:AG44"/>
    <mergeCell ref="AH43:AH44"/>
    <mergeCell ref="AE39:AE40"/>
    <mergeCell ref="AF39:AF40"/>
    <mergeCell ref="AG39:AG40"/>
    <mergeCell ref="AC41:AD42"/>
    <mergeCell ref="AE41:AE42"/>
    <mergeCell ref="AF41:AF42"/>
    <mergeCell ref="AG41:AG42"/>
    <mergeCell ref="AH41:AH42"/>
    <mergeCell ref="AI41:AI42"/>
    <mergeCell ref="AH39:AH40"/>
    <mergeCell ref="AI39:AI40"/>
    <mergeCell ref="AE35:AE36"/>
    <mergeCell ref="AF35:AF36"/>
    <mergeCell ref="AG35:AG36"/>
    <mergeCell ref="AH35:AH36"/>
    <mergeCell ref="AI35:AI36"/>
    <mergeCell ref="Z37:AB38"/>
    <mergeCell ref="AC37:AD38"/>
    <mergeCell ref="AE37:AE38"/>
    <mergeCell ref="AF37:AF38"/>
    <mergeCell ref="AG37:AG38"/>
    <mergeCell ref="AH37:AH38"/>
    <mergeCell ref="AI37:AI38"/>
    <mergeCell ref="A35:A40"/>
    <mergeCell ref="B35:B38"/>
    <mergeCell ref="C35:D40"/>
    <mergeCell ref="E35:N40"/>
    <mergeCell ref="O35:Q40"/>
    <mergeCell ref="R35:W38"/>
    <mergeCell ref="X35:Y40"/>
    <mergeCell ref="Z35:AB36"/>
    <mergeCell ref="AC35:AD36"/>
    <mergeCell ref="B39:B40"/>
    <mergeCell ref="R39:R40"/>
    <mergeCell ref="S39:W40"/>
    <mergeCell ref="Z39:AB40"/>
    <mergeCell ref="AC39:AD40"/>
    <mergeCell ref="AI31:AI32"/>
    <mergeCell ref="B33:B34"/>
    <mergeCell ref="R33:R34"/>
    <mergeCell ref="S33:W34"/>
    <mergeCell ref="Z33:AB34"/>
    <mergeCell ref="AC33:AD34"/>
    <mergeCell ref="AE33:AE34"/>
    <mergeCell ref="AF33:AF34"/>
    <mergeCell ref="AG33:AG34"/>
    <mergeCell ref="AH33:AH34"/>
    <mergeCell ref="Z31:AB32"/>
    <mergeCell ref="AC31:AD32"/>
    <mergeCell ref="AE31:AE32"/>
    <mergeCell ref="AF31:AF32"/>
    <mergeCell ref="AG31:AG32"/>
    <mergeCell ref="AH31:AH32"/>
    <mergeCell ref="AI33:AI34"/>
    <mergeCell ref="A29:A34"/>
    <mergeCell ref="B29:B32"/>
    <mergeCell ref="C29:D34"/>
    <mergeCell ref="E29:N34"/>
    <mergeCell ref="O29:Q34"/>
    <mergeCell ref="R29:W32"/>
    <mergeCell ref="X29:Y34"/>
    <mergeCell ref="Z29:AB30"/>
    <mergeCell ref="B27:B28"/>
    <mergeCell ref="R27:R28"/>
    <mergeCell ref="S27:W28"/>
    <mergeCell ref="Z27:AB28"/>
    <mergeCell ref="X23:Y28"/>
    <mergeCell ref="AI25:AI26"/>
    <mergeCell ref="Z23:AB24"/>
    <mergeCell ref="AC23:AD24"/>
    <mergeCell ref="AE23:AE24"/>
    <mergeCell ref="AF23:AF24"/>
    <mergeCell ref="AG23:AG24"/>
    <mergeCell ref="AC29:AD30"/>
    <mergeCell ref="AE29:AE30"/>
    <mergeCell ref="AF29:AF30"/>
    <mergeCell ref="AG29:AG30"/>
    <mergeCell ref="AH29:AH30"/>
    <mergeCell ref="AI29:AI30"/>
    <mergeCell ref="AH27:AH28"/>
    <mergeCell ref="AI27:AI28"/>
    <mergeCell ref="AC27:AD28"/>
    <mergeCell ref="AE27:AE28"/>
    <mergeCell ref="AF27:AF28"/>
    <mergeCell ref="AG27:AG28"/>
    <mergeCell ref="AF21:AF22"/>
    <mergeCell ref="AG21:AG22"/>
    <mergeCell ref="AH21:AH22"/>
    <mergeCell ref="AI21:AI22"/>
    <mergeCell ref="A23:A28"/>
    <mergeCell ref="B23:B26"/>
    <mergeCell ref="C23:D28"/>
    <mergeCell ref="E23:N28"/>
    <mergeCell ref="O23:Q28"/>
    <mergeCell ref="R23:W26"/>
    <mergeCell ref="B21:B22"/>
    <mergeCell ref="R21:R22"/>
    <mergeCell ref="S21:W22"/>
    <mergeCell ref="Z21:AB22"/>
    <mergeCell ref="AC21:AD22"/>
    <mergeCell ref="AE21:AE22"/>
    <mergeCell ref="AH23:AH24"/>
    <mergeCell ref="AI23:AI24"/>
    <mergeCell ref="Z25:AB26"/>
    <mergeCell ref="AC25:AD26"/>
    <mergeCell ref="AE25:AE26"/>
    <mergeCell ref="AF25:AF26"/>
    <mergeCell ref="AG25:AG26"/>
    <mergeCell ref="AH25:AH26"/>
    <mergeCell ref="AI17:AI18"/>
    <mergeCell ref="Z19:AB20"/>
    <mergeCell ref="AC19:AD20"/>
    <mergeCell ref="AE19:AE20"/>
    <mergeCell ref="AF19:AF20"/>
    <mergeCell ref="AG19:AG20"/>
    <mergeCell ref="AH19:AH20"/>
    <mergeCell ref="AI19:AI20"/>
    <mergeCell ref="Z17:AB18"/>
    <mergeCell ref="AC17:AD18"/>
    <mergeCell ref="AE17:AE18"/>
    <mergeCell ref="AF17:AF18"/>
    <mergeCell ref="AG17:AG18"/>
    <mergeCell ref="AH17:AH18"/>
    <mergeCell ref="AG15:AG16"/>
    <mergeCell ref="AH15:AH16"/>
    <mergeCell ref="AI15:AI16"/>
    <mergeCell ref="A17:A22"/>
    <mergeCell ref="B17:B20"/>
    <mergeCell ref="C17:D22"/>
    <mergeCell ref="E17:N22"/>
    <mergeCell ref="O17:Q22"/>
    <mergeCell ref="R17:W20"/>
    <mergeCell ref="X17:Y22"/>
    <mergeCell ref="X11:Y16"/>
    <mergeCell ref="Z15:AB16"/>
    <mergeCell ref="AC15:AD16"/>
    <mergeCell ref="AE15:AE16"/>
    <mergeCell ref="AF15:AF16"/>
    <mergeCell ref="A11:A16"/>
    <mergeCell ref="B11:B14"/>
    <mergeCell ref="C11:D16"/>
    <mergeCell ref="E11:N16"/>
    <mergeCell ref="O11:Q16"/>
    <mergeCell ref="R11:W14"/>
    <mergeCell ref="B15:B16"/>
    <mergeCell ref="R15:R16"/>
    <mergeCell ref="S15:W16"/>
    <mergeCell ref="AH11:AH12"/>
    <mergeCell ref="AI11:AI12"/>
    <mergeCell ref="Z13:AB14"/>
    <mergeCell ref="AC13:AD14"/>
    <mergeCell ref="AE13:AE14"/>
    <mergeCell ref="AF13:AF14"/>
    <mergeCell ref="AG13:AG14"/>
    <mergeCell ref="AH13:AH14"/>
    <mergeCell ref="AI13:AI14"/>
    <mergeCell ref="Z11:AB12"/>
    <mergeCell ref="AC11:AD12"/>
    <mergeCell ref="AE11:AE12"/>
    <mergeCell ref="AF11:AF12"/>
    <mergeCell ref="AG11:AG12"/>
    <mergeCell ref="AG8:AG9"/>
    <mergeCell ref="AH8:AH9"/>
    <mergeCell ref="A10:B10"/>
    <mergeCell ref="C10:D10"/>
    <mergeCell ref="E10:N10"/>
    <mergeCell ref="O10:Q10"/>
    <mergeCell ref="R10:Y10"/>
    <mergeCell ref="Z10:AE10"/>
    <mergeCell ref="Z2:AE6"/>
    <mergeCell ref="G5:N9"/>
    <mergeCell ref="R6:R9"/>
    <mergeCell ref="S6:Y9"/>
    <mergeCell ref="Z7:AE9"/>
    <mergeCell ref="AF8:AF9"/>
    <mergeCell ref="A1:F1"/>
    <mergeCell ref="G1:N1"/>
    <mergeCell ref="O1:Q1"/>
    <mergeCell ref="R1:Y1"/>
    <mergeCell ref="Z1:AE1"/>
    <mergeCell ref="A2:F9"/>
    <mergeCell ref="G2:N4"/>
    <mergeCell ref="O2:Q9"/>
    <mergeCell ref="R2:R5"/>
    <mergeCell ref="S2:Y5"/>
  </mergeCells>
  <phoneticPr fontId="3"/>
  <pageMargins left="0.19685039370078741" right="0" top="0.19685039370078741" bottom="0" header="0" footer="0"/>
  <pageSetup paperSize="9" scale="40" orientation="landscape" r:id="rId1"/>
  <headerFooter>
    <oddFooter>&amp;R&amp;D&amp;T</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F (輝岩2)</vt:lpstr>
      <vt:lpstr>F (総企</vt:lpstr>
      <vt:lpstr>F (狩野</vt:lpstr>
      <vt:lpstr>F (輝岩</vt:lpstr>
      <vt:lpstr>ENG</vt:lpstr>
      <vt:lpstr>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竜石堂</dc:creator>
  <cp:lastModifiedBy>竜石堂</cp:lastModifiedBy>
  <cp:lastPrinted>2026-06-16T05:48:53Z</cp:lastPrinted>
  <dcterms:created xsi:type="dcterms:W3CDTF">2024-11-25T04:32:21Z</dcterms:created>
  <dcterms:modified xsi:type="dcterms:W3CDTF">2026-06-16T06:31:24Z</dcterms:modified>
</cp:coreProperties>
</file>
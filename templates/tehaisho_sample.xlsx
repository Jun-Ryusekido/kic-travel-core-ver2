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Ls220d8cb\kic_date\INBOUND\2026\KULIN KUMAR\20260819【KIC1153_KK】-MICE KULIN KUMAR\"/>
    </mc:Choice>
  </mc:AlternateContent>
  <xr:revisionPtr revIDLastSave="0" documentId="13_ncr:1_{C9222099-0B2E-4B5E-A8A2-56C0246D6CD7}" xr6:coauthVersionLast="47" xr6:coauthVersionMax="47" xr10:uidLastSave="{00000000-0000-0000-0000-000000000000}"/>
  <bookViews>
    <workbookView xWindow="-110" yWindow="-110" windowWidth="19420" windowHeight="11500" activeTab="5" xr2:uid="{24F89C4D-9FD6-403C-882D-1E2A61FDAD7E}"/>
  </bookViews>
  <sheets>
    <sheet name="Life(2)" sheetId="13" r:id="rId1"/>
    <sheet name="Life(1)" sheetId="14" r:id="rId2"/>
    <sheet name="狩野(2)" sheetId="11" r:id="rId3"/>
    <sheet name="狩野(1)" sheetId="12" r:id="rId4"/>
    <sheet name="1(2)" sheetId="10" r:id="rId5"/>
    <sheet name="1(1)" sheetId="9" r:id="rId6"/>
  </sheets>
  <definedNames>
    <definedName name="__bookmark_1">#REF!</definedName>
    <definedName name="_xlnm.Print_Area" localSheetId="5">'1(1)'!$A$1:$AE$49</definedName>
    <definedName name="_xlnm.Print_Area" localSheetId="4">'1(2)'!$A$1:$AE$49</definedName>
    <definedName name="_xlnm.Print_Area" localSheetId="1">'Life(1)'!$A$1:$AE$49</definedName>
    <definedName name="_xlnm.Print_Area" localSheetId="0">'Life(2)'!$A$1:$AE$49</definedName>
    <definedName name="_xlnm.Print_Area" localSheetId="3">'狩野(1)'!$A$1:$AE$49</definedName>
    <definedName name="_xlnm.Print_Area" localSheetId="2">'狩野(2)'!$A$1:$AE$49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4" l="1"/>
  <c r="B21" i="14" s="1"/>
  <c r="B15" i="14"/>
  <c r="B17" i="13"/>
  <c r="B23" i="13" s="1"/>
  <c r="B15" i="13"/>
  <c r="B23" i="12"/>
  <c r="B29" i="12" s="1"/>
  <c r="B17" i="12"/>
  <c r="B21" i="12" s="1"/>
  <c r="B15" i="12"/>
  <c r="B17" i="11"/>
  <c r="B21" i="11" s="1"/>
  <c r="B15" i="11"/>
  <c r="AG39" i="9"/>
  <c r="AG37" i="9"/>
  <c r="AG35" i="9"/>
  <c r="AF35" i="9"/>
  <c r="AG33" i="9"/>
  <c r="AG31" i="9"/>
  <c r="AG29" i="9"/>
  <c r="AF29" i="9"/>
  <c r="AG27" i="9"/>
  <c r="AG25" i="9"/>
  <c r="AG23" i="9"/>
  <c r="AF23" i="9"/>
  <c r="AG21" i="9"/>
  <c r="AG19" i="9"/>
  <c r="AG17" i="9"/>
  <c r="AF17" i="9"/>
  <c r="AG15" i="9"/>
  <c r="AG13" i="9"/>
  <c r="AG11" i="9"/>
  <c r="AF11" i="9"/>
  <c r="AI39" i="10"/>
  <c r="AG39" i="10"/>
  <c r="AI37" i="10"/>
  <c r="AG37" i="10"/>
  <c r="AI35" i="10"/>
  <c r="AG35" i="10"/>
  <c r="AF35" i="10"/>
  <c r="B35" i="10"/>
  <c r="B39" i="10" s="1"/>
  <c r="AI33" i="10"/>
  <c r="AG33" i="10"/>
  <c r="B33" i="10"/>
  <c r="AI31" i="10"/>
  <c r="AG31" i="10"/>
  <c r="AI29" i="10"/>
  <c r="AG29" i="10"/>
  <c r="B29" i="10"/>
  <c r="AF29" i="10" s="1"/>
  <c r="AI27" i="10"/>
  <c r="AG27" i="10"/>
  <c r="B27" i="10"/>
  <c r="AI25" i="10"/>
  <c r="AG25" i="10"/>
  <c r="AI23" i="10"/>
  <c r="AG23" i="10"/>
  <c r="AF23" i="10"/>
  <c r="B23" i="10"/>
  <c r="AI21" i="10"/>
  <c r="AG21" i="10"/>
  <c r="B21" i="10"/>
  <c r="AI19" i="10"/>
  <c r="AG19" i="10"/>
  <c r="AI17" i="10"/>
  <c r="AG17" i="10"/>
  <c r="AF17" i="10"/>
  <c r="B17" i="10"/>
  <c r="AI15" i="10"/>
  <c r="AG15" i="10"/>
  <c r="B15" i="10"/>
  <c r="AI13" i="10"/>
  <c r="AG13" i="10"/>
  <c r="AI11" i="10"/>
  <c r="AG11" i="10"/>
  <c r="AF11" i="10"/>
  <c r="AG8" i="10"/>
  <c r="AI39" i="9"/>
  <c r="AI37" i="9"/>
  <c r="AI35" i="9"/>
  <c r="AI33" i="9"/>
  <c r="AI31" i="9"/>
  <c r="AI29" i="9"/>
  <c r="AI27" i="9"/>
  <c r="AI25" i="9"/>
  <c r="AI23" i="9"/>
  <c r="AI21" i="9"/>
  <c r="AI19" i="9"/>
  <c r="AI17" i="9"/>
  <c r="B17" i="9"/>
  <c r="B21" i="9" s="1"/>
  <c r="AI15" i="9"/>
  <c r="B15" i="9"/>
  <c r="AI13" i="9"/>
  <c r="AI11" i="9"/>
  <c r="AG8" i="9"/>
  <c r="B23" i="11" l="1"/>
  <c r="B23" i="14"/>
  <c r="B29" i="14" s="1"/>
  <c r="B35" i="14"/>
  <c r="B33" i="14"/>
  <c r="B29" i="13"/>
  <c r="B27" i="13"/>
  <c r="B27" i="14"/>
  <c r="B21" i="13"/>
  <c r="B35" i="12"/>
  <c r="B33" i="12"/>
  <c r="B27" i="11"/>
  <c r="B29" i="11"/>
  <c r="B27" i="12"/>
  <c r="B23" i="9"/>
  <c r="B33" i="13" l="1"/>
  <c r="B35" i="13"/>
  <c r="B39" i="14"/>
  <c r="B33" i="11"/>
  <c r="B35" i="11"/>
  <c r="B39" i="12"/>
  <c r="B29" i="9"/>
  <c r="B27" i="9"/>
  <c r="B39" i="13" l="1"/>
  <c r="B39" i="11"/>
  <c r="B35" i="9"/>
  <c r="B33" i="9"/>
  <c r="B39" i="9" l="1"/>
</calcChain>
</file>

<file path=xl/sharedStrings.xml><?xml version="1.0" encoding="utf-8"?>
<sst xmlns="http://schemas.openxmlformats.org/spreadsheetml/2006/main" count="600" uniqueCount="107">
  <si>
    <t>Tour Code</t>
    <phoneticPr fontId="4"/>
  </si>
  <si>
    <t>バス看板名</t>
    <rPh sb="2" eb="5">
      <t>カンバンメイ</t>
    </rPh>
    <phoneticPr fontId="4"/>
  </si>
  <si>
    <t>No. PAX</t>
    <phoneticPr fontId="4"/>
  </si>
  <si>
    <t>Flight Information</t>
    <phoneticPr fontId="4"/>
  </si>
  <si>
    <t>Guide</t>
    <phoneticPr fontId="4"/>
  </si>
  <si>
    <t>国籍：インド</t>
    <rPh sb="0" eb="2">
      <t>コクセキ</t>
    </rPh>
    <phoneticPr fontId="4"/>
  </si>
  <si>
    <t>ARR:</t>
    <phoneticPr fontId="4"/>
  </si>
  <si>
    <t>DEP:</t>
    <phoneticPr fontId="4"/>
  </si>
  <si>
    <t>DATE</t>
    <phoneticPr fontId="4"/>
  </si>
  <si>
    <t>BUS</t>
    <phoneticPr fontId="4"/>
  </si>
  <si>
    <t>ITINERARY</t>
    <phoneticPr fontId="4"/>
  </si>
  <si>
    <t>OTHERS</t>
    <phoneticPr fontId="4"/>
  </si>
  <si>
    <t>HOTEL</t>
    <phoneticPr fontId="4"/>
  </si>
  <si>
    <t>RESTAURANT</t>
    <phoneticPr fontId="4"/>
  </si>
  <si>
    <t>B:X</t>
    <phoneticPr fontId="6"/>
  </si>
  <si>
    <t>B:ホテル</t>
    <phoneticPr fontId="6"/>
  </si>
  <si>
    <t>KIC TRAVEL</t>
    <phoneticPr fontId="3"/>
  </si>
  <si>
    <t>DEP</t>
    <phoneticPr fontId="3"/>
  </si>
  <si>
    <t>利用レストラン一覧</t>
    <rPh sb="0" eb="2">
      <t>リヨウ</t>
    </rPh>
    <rPh sb="7" eb="9">
      <t>イチラン</t>
    </rPh>
    <phoneticPr fontId="3"/>
  </si>
  <si>
    <t>日にち</t>
    <rPh sb="0" eb="1">
      <t>ヒ</t>
    </rPh>
    <phoneticPr fontId="3"/>
  </si>
  <si>
    <t>レストラン名</t>
    <rPh sb="5" eb="6">
      <t>メイ</t>
    </rPh>
    <phoneticPr fontId="3"/>
  </si>
  <si>
    <t>住所</t>
    <rPh sb="0" eb="2">
      <t>ジュウショ</t>
    </rPh>
    <phoneticPr fontId="3"/>
  </si>
  <si>
    <t>電話番号</t>
    <rPh sb="0" eb="4">
      <t>デンワバンゴウ</t>
    </rPh>
    <phoneticPr fontId="3"/>
  </si>
  <si>
    <t>※重要：必ず、前日にホテル、レストランには人数確認をする。ツアーリーダーの英語日程とすりあわせをすること！</t>
    <phoneticPr fontId="3"/>
  </si>
  <si>
    <t>※meal voucherは食事を取った人数(添乗員・ガイドも)を記入！レストランからの請求人数の間違いをなくす目的です</t>
    <phoneticPr fontId="3"/>
  </si>
  <si>
    <t>---</t>
    <phoneticPr fontId="3"/>
  </si>
  <si>
    <t>L:X</t>
    <phoneticPr fontId="3"/>
  </si>
  <si>
    <t>D:X</t>
    <phoneticPr fontId="3"/>
  </si>
  <si>
    <t xml:space="preserve">DRV同宿、
バスPあり	
	</t>
    <phoneticPr fontId="3"/>
  </si>
  <si>
    <t>※ドライバー情報がない場合、前日までに確認してください。万一、当日気づいた場合、先にバス会社に連絡してご確認ください！</t>
    <phoneticPr fontId="3"/>
  </si>
  <si>
    <t>※初日のみミネラルウオーター00本、積み込みお願いします。</t>
    <rPh sb="1" eb="3">
      <t>ショニチ</t>
    </rPh>
    <phoneticPr fontId="3"/>
  </si>
  <si>
    <t>※全旅クーポン利用施設に関して人数変更等発生した場合、必ず連絡を入れること！現地精算施設の手数料を忘れないこと！(宮島ﾌｪﾘｰ・松大汽船等)</t>
    <rPh sb="1" eb="3">
      <t>ゼンリョ</t>
    </rPh>
    <rPh sb="7" eb="9">
      <t>リヨウ</t>
    </rPh>
    <rPh sb="9" eb="11">
      <t>シセツ</t>
    </rPh>
    <rPh sb="12" eb="13">
      <t>カン</t>
    </rPh>
    <rPh sb="15" eb="19">
      <t>ニンズウヘンコウ</t>
    </rPh>
    <rPh sb="19" eb="20">
      <t>トウ</t>
    </rPh>
    <rPh sb="20" eb="22">
      <t>ハッセイ</t>
    </rPh>
    <rPh sb="24" eb="26">
      <t>バアイ</t>
    </rPh>
    <rPh sb="27" eb="28">
      <t>カナラ</t>
    </rPh>
    <rPh sb="29" eb="31">
      <t>レンラク</t>
    </rPh>
    <rPh sb="32" eb="33">
      <t>イ</t>
    </rPh>
    <rPh sb="38" eb="40">
      <t>ゲンチ</t>
    </rPh>
    <phoneticPr fontId="3"/>
  </si>
  <si>
    <t>※ミネラルウオーター1日2本／名</t>
    <rPh sb="11" eb="12">
      <t>ニチ</t>
    </rPh>
    <rPh sb="13" eb="14">
      <t>ホン</t>
    </rPh>
    <rPh sb="15" eb="16">
      <t>メイ</t>
    </rPh>
    <phoneticPr fontId="3"/>
  </si>
  <si>
    <t>ドライバー</t>
    <phoneticPr fontId="3"/>
  </si>
  <si>
    <t>バス会社</t>
    <rPh sb="2" eb="4">
      <t>カイシャ</t>
    </rPh>
    <phoneticPr fontId="3"/>
  </si>
  <si>
    <r>
      <t>※ミネラルウオーター配達：000本、000本、000本、000本、</t>
    </r>
    <r>
      <rPr>
        <b/>
        <sz val="10"/>
        <color rgb="FF0000FF"/>
        <rFont val="ＭＳ Ｐゴシック"/>
        <family val="3"/>
        <charset val="128"/>
      </rPr>
      <t>ガイド：各所で確認してください。</t>
    </r>
  </si>
  <si>
    <t>東京</t>
  </si>
  <si>
    <t>大阪</t>
  </si>
  <si>
    <t>KULIN KUMAR HOLIDAYS</t>
  </si>
  <si>
    <t>浅草ビューホテル</t>
  </si>
  <si>
    <t>03-3847-1111</t>
  </si>
  <si>
    <t>リーガロイヤルホテル大阪</t>
  </si>
  <si>
    <t>06-6448-1121</t>
  </si>
  <si>
    <t>狩野観光</t>
    <rPh sb="0" eb="2">
      <t>カノウ</t>
    </rPh>
    <rPh sb="2" eb="4">
      <t>カンコウ</t>
    </rPh>
    <phoneticPr fontId="3"/>
  </si>
  <si>
    <t>8/18 KIX TG672 15:55</t>
    <phoneticPr fontId="3"/>
  </si>
  <si>
    <t>8/22 NRT(T1) TG641 10:50</t>
    <phoneticPr fontId="3"/>
  </si>
  <si>
    <t>B:弁当(？？？？？)</t>
    <rPh sb="2" eb="4">
      <t>ベントウ</t>
    </rPh>
    <phoneticPr fontId="3"/>
  </si>
  <si>
    <t>デリバリ</t>
    <phoneticPr fontId="3"/>
  </si>
  <si>
    <t>※ドライバーお茶代(税込) 1日3,000円、送迎のみ1,500円(要領収書)</t>
    <rPh sb="10" eb="12">
      <t>ゼイコミ</t>
    </rPh>
    <rPh sb="34" eb="38">
      <t>ヨウリョウシュウショ</t>
    </rPh>
    <phoneticPr fontId="3"/>
  </si>
  <si>
    <t>食事代 (税込)：朝食800円(ホテルで朝食取れない場合)、昼食1,000円、夕食1,500円(要領収書)</t>
    <rPh sb="5" eb="7">
      <t>ゼイコミ</t>
    </rPh>
    <rPh sb="48" eb="52">
      <t>ヨウリョウシュウショ</t>
    </rPh>
    <phoneticPr fontId="3"/>
  </si>
  <si>
    <r>
      <t>6:45→7:50</t>
    </r>
    <r>
      <rPr>
        <b/>
        <sz val="13"/>
        <color rgb="FF0000FF"/>
        <rFont val="ＭＳ Ｐゴシック"/>
        <family val="3"/>
        <charset val="128"/>
      </rPr>
      <t>成田空港・第1(TG641/10:50発)</t>
    </r>
    <rPh sb="9" eb="11">
      <t>ナリタ</t>
    </rPh>
    <phoneticPr fontId="3"/>
  </si>
  <si>
    <t>津﨑美帆</t>
    <phoneticPr fontId="3"/>
  </si>
  <si>
    <t>090-7404-6530</t>
    <phoneticPr fontId="3"/>
  </si>
  <si>
    <t>D:マンディール</t>
    <phoneticPr fontId="6"/>
  </si>
  <si>
    <t>03-3455-2994</t>
    <phoneticPr fontId="3"/>
  </si>
  <si>
    <r>
      <t>9:00(徒歩)～</t>
    </r>
    <r>
      <rPr>
        <b/>
        <sz val="13"/>
        <color theme="1"/>
        <rFont val="ＭＳ Ｐゴシック"/>
        <family val="3"/>
        <charset val="128"/>
      </rPr>
      <t>浅草寺＋仲見世通り</t>
    </r>
    <r>
      <rPr>
        <sz val="13"/>
        <color theme="1"/>
        <rFont val="ＭＳ Ｐ明朝"/>
        <family val="1"/>
        <charset val="128"/>
      </rPr>
      <t>(徒歩～ホテル戻り)10:30→10:45</t>
    </r>
    <r>
      <rPr>
        <b/>
        <sz val="13"/>
        <color theme="1"/>
        <rFont val="ＭＳ Ｐゴシック"/>
        <family val="3"/>
        <charset val="128"/>
      </rPr>
      <t>東京スカイツリー(350m)</t>
    </r>
    <r>
      <rPr>
        <sz val="13"/>
        <color theme="1"/>
        <rFont val="ＭＳ Ｐ明朝"/>
        <family val="1"/>
        <charset val="128"/>
      </rPr>
      <t>12:30→13:00昼食14:00→14:15</t>
    </r>
    <r>
      <rPr>
        <b/>
        <sz val="13"/>
        <color theme="1"/>
        <rFont val="ＭＳ Ｐゴシック"/>
        <family val="3"/>
        <charset val="128"/>
      </rPr>
      <t>銀座＋相撲</t>
    </r>
    <r>
      <rPr>
        <sz val="13"/>
        <color theme="1"/>
        <rFont val="ＭＳ Ｐ明朝"/>
        <family val="1"/>
        <charset val="128"/>
      </rPr>
      <t>（15:00～）18:30→19:00</t>
    </r>
    <r>
      <rPr>
        <b/>
        <sz val="13"/>
        <color theme="1"/>
        <rFont val="ＭＳ Ｐゴシック"/>
        <family val="3"/>
        <charset val="128"/>
      </rPr>
      <t>カクテルディナー</t>
    </r>
    <r>
      <rPr>
        <sz val="13"/>
        <color theme="1"/>
        <rFont val="ＭＳ Ｐ明朝"/>
        <family val="1"/>
        <charset val="128"/>
      </rPr>
      <t>21:00→21:30ホテル</t>
    </r>
    <rPh sb="5" eb="7">
      <t>トホ</t>
    </rPh>
    <rPh sb="19" eb="21">
      <t>トホ</t>
    </rPh>
    <rPh sb="25" eb="26">
      <t>モド</t>
    </rPh>
    <phoneticPr fontId="3"/>
  </si>
  <si>
    <r>
      <t>8:45→9:15</t>
    </r>
    <r>
      <rPr>
        <b/>
        <sz val="13"/>
        <color rgb="FF0000FF"/>
        <rFont val="ＭＳ Ｐゴシック"/>
        <family val="3"/>
        <charset val="128"/>
      </rPr>
      <t xml:space="preserve">新大阪駅(ひかり702号・9:48発→11:49着) </t>
    </r>
    <r>
      <rPr>
        <sz val="13"/>
        <color theme="1"/>
        <rFont val="ＭＳ Ｐ明朝"/>
        <family val="1"/>
        <charset val="128"/>
      </rPr>
      <t>三島駅12:10→12:45昼食13:45→14:10</t>
    </r>
    <r>
      <rPr>
        <b/>
        <sz val="13"/>
        <color rgb="FF0000FF"/>
        <rFont val="ＭＳ Ｐゴシック"/>
        <family val="3"/>
        <charset val="128"/>
      </rPr>
      <t>桃源台駅(箱根ロープウェイ)</t>
    </r>
    <r>
      <rPr>
        <sz val="13"/>
        <color theme="1"/>
        <rFont val="ＭＳ Ｐ明朝"/>
        <family val="1"/>
        <charset val="128"/>
      </rPr>
      <t>→大涌谷駅14:50→16:15</t>
    </r>
    <r>
      <rPr>
        <b/>
        <sz val="13"/>
        <color theme="1"/>
        <rFont val="ＭＳ Ｐゴシック"/>
        <family val="3"/>
        <charset val="128"/>
      </rPr>
      <t>忍野八海</t>
    </r>
    <r>
      <rPr>
        <sz val="13"/>
        <color theme="1"/>
        <rFont val="ＭＳ Ｐ明朝"/>
        <family val="1"/>
        <charset val="128"/>
      </rPr>
      <t>17:15→19:15夕食20:15→20:45ホテル</t>
    </r>
    <rPh sb="50" eb="52">
      <t>チュウショク</t>
    </rPh>
    <rPh sb="68" eb="70">
      <t>ハコネ</t>
    </rPh>
    <rPh sb="81" eb="82">
      <t>エキ</t>
    </rPh>
    <rPh sb="108" eb="110">
      <t>ユウショク</t>
    </rPh>
    <phoneticPr fontId="3"/>
  </si>
  <si>
    <r>
      <rPr>
        <b/>
        <sz val="13"/>
        <color rgb="FF0000FF"/>
        <rFont val="ＭＳ Ｐゴシック"/>
        <family val="3"/>
        <charset val="128"/>
      </rPr>
      <t>(TG672/15:55着) 関西空港</t>
    </r>
    <r>
      <rPr>
        <sz val="13"/>
        <color theme="1"/>
        <rFont val="ＭＳ Ｐゴシック"/>
        <family val="3"/>
        <charset val="128"/>
      </rPr>
      <t xml:space="preserve"> </t>
    </r>
    <r>
      <rPr>
        <sz val="13"/>
        <color theme="1"/>
        <rFont val="ＭＳ Ｐ明朝"/>
        <family val="1"/>
        <charset val="128"/>
      </rPr>
      <t>17:30→18:30夕食19:30→20:00ホテル</t>
    </r>
    <rPh sb="15" eb="17">
      <t>カンサイ</t>
    </rPh>
    <rPh sb="17" eb="19">
      <t>クウコウ</t>
    </rPh>
    <phoneticPr fontId="3"/>
  </si>
  <si>
    <t>狩野／Life</t>
    <rPh sb="0" eb="2">
      <t>カノウ</t>
    </rPh>
    <phoneticPr fontId="3"/>
  </si>
  <si>
    <t>Life</t>
    <phoneticPr fontId="3"/>
  </si>
  <si>
    <t>ドライバー大阪宿泊 (リュウセキドウ名義にて予約) 1室15,010円+(宿泊税, 現地決済)</t>
    <rPh sb="5" eb="7">
      <t>オオサカ</t>
    </rPh>
    <rPh sb="7" eb="9">
      <t>シュクハク</t>
    </rPh>
    <rPh sb="18" eb="20">
      <t>メイギ</t>
    </rPh>
    <rPh sb="22" eb="24">
      <t>ヨヤク</t>
    </rPh>
    <rPh sb="27" eb="28">
      <t>シツ</t>
    </rPh>
    <rPh sb="34" eb="35">
      <t>エン</t>
    </rPh>
    <rPh sb="37" eb="40">
      <t>シュクハクゼイ</t>
    </rPh>
    <rPh sb="42" eb="46">
      <t>ゲンチケッサイ</t>
    </rPh>
    <phoneticPr fontId="3"/>
  </si>
  <si>
    <t>8/18～2泊 予約番号 : 0TMPXT73 (2室とも), アパホテル谷町四丁目駅前, 06-4790-2111</t>
    <rPh sb="6" eb="7">
      <t>ハク</t>
    </rPh>
    <rPh sb="8" eb="12">
      <t>ヨヤクバンゴウ</t>
    </rPh>
    <rPh sb="26" eb="27">
      <t>シツ</t>
    </rPh>
    <rPh sb="37" eb="39">
      <t>タニマチ</t>
    </rPh>
    <rPh sb="39" eb="42">
      <t>ヨンチョウメ</t>
    </rPh>
    <rPh sb="42" eb="44">
      <t>エキマエ</t>
    </rPh>
    <phoneticPr fontId="3"/>
  </si>
  <si>
    <r>
      <t>9:30→10:45</t>
    </r>
    <r>
      <rPr>
        <b/>
        <sz val="13"/>
        <color theme="1"/>
        <rFont val="ＭＳ Ｐゴシック"/>
        <family val="3"/>
        <charset val="128"/>
      </rPr>
      <t>嵐山・竹林</t>
    </r>
    <r>
      <rPr>
        <sz val="13"/>
        <color theme="1"/>
        <rFont val="ＭＳ Ｐ明朝"/>
        <family val="1"/>
        <charset val="128"/>
      </rPr>
      <t>12:00→12:30昼食13:30→14:00</t>
    </r>
    <r>
      <rPr>
        <b/>
        <sz val="13"/>
        <color theme="1"/>
        <rFont val="ＭＳ Ｐゴシック"/>
        <family val="3"/>
        <charset val="128"/>
      </rPr>
      <t>伏見稲荷大社</t>
    </r>
    <r>
      <rPr>
        <sz val="13"/>
        <color theme="1"/>
        <rFont val="ＭＳ Ｐ明朝"/>
        <family val="1"/>
        <charset val="128"/>
      </rPr>
      <t>15:15→16:15</t>
    </r>
    <r>
      <rPr>
        <b/>
        <sz val="13"/>
        <color theme="1"/>
        <rFont val="ＭＳ Ｐゴシック"/>
        <family val="3"/>
        <charset val="128"/>
      </rPr>
      <t>東大寺</t>
    </r>
    <r>
      <rPr>
        <b/>
        <sz val="13"/>
        <color theme="1"/>
        <rFont val="ＭＳ Ｐ明朝"/>
        <family val="1"/>
        <charset val="128"/>
      </rPr>
      <t>【ラストエントリー17:00】、</t>
    </r>
    <r>
      <rPr>
        <b/>
        <sz val="13"/>
        <color theme="1"/>
        <rFont val="ＭＳ Ｐゴシック"/>
        <family val="3"/>
        <charset val="128"/>
      </rPr>
      <t>奈良公園</t>
    </r>
    <r>
      <rPr>
        <sz val="13"/>
        <color theme="1"/>
        <rFont val="ＭＳ Ｐ明朝"/>
        <family val="1"/>
        <charset val="128"/>
      </rPr>
      <t>18:00→19:00夕食20:00→20:30ホテル</t>
    </r>
    <rPh sb="75" eb="79">
      <t>ナラコウエン</t>
    </rPh>
    <phoneticPr fontId="3"/>
  </si>
  <si>
    <r>
      <t>新大阪駅バスP未
新幹線：</t>
    </r>
    <r>
      <rPr>
        <b/>
        <sz val="10"/>
        <color rgb="FFFF0000"/>
        <rFont val="ＭＳ Ｐゴシック"/>
        <family val="3"/>
        <charset val="128"/>
      </rPr>
      <t>OK</t>
    </r>
    <r>
      <rPr>
        <sz val="10"/>
        <color theme="1"/>
        <rFont val="ＭＳ Ｐゴシック"/>
        <family val="3"/>
        <charset val="128"/>
      </rPr>
      <t xml:space="preserve">
箱根ロープウェイ</t>
    </r>
    <r>
      <rPr>
        <b/>
        <sz val="10"/>
        <color rgb="FFFF0000"/>
        <rFont val="ＭＳ Ｐゴシック"/>
        <family val="3"/>
        <charset val="128"/>
      </rPr>
      <t>OK</t>
    </r>
    <rPh sb="16" eb="18">
      <t>ハコネ</t>
    </rPh>
    <phoneticPr fontId="3"/>
  </si>
  <si>
    <r>
      <rPr>
        <b/>
        <sz val="10"/>
        <color rgb="FF0000FF"/>
        <rFont val="ＭＳ Ｐゴシック"/>
        <family val="3"/>
        <charset val="128"/>
      </rPr>
      <t>DRV別宿</t>
    </r>
    <r>
      <rPr>
        <sz val="10"/>
        <color theme="1"/>
        <rFont val="ＭＳ Ｐゴシック"/>
        <family val="3"/>
        <charset val="128"/>
      </rPr>
      <t xml:space="preserve">、
</t>
    </r>
    <r>
      <rPr>
        <sz val="9"/>
        <color theme="1"/>
        <rFont val="ＭＳ Ｐゴシック"/>
        <family val="3"/>
        <charset val="128"/>
      </rPr>
      <t>バスP大阪城公園(予約なし)</t>
    </r>
    <r>
      <rPr>
        <sz val="10"/>
        <color theme="1"/>
        <rFont val="ＭＳ Ｐゴシック"/>
        <family val="3"/>
        <charset val="128"/>
      </rPr>
      <t xml:space="preserve">	
	</t>
    </r>
    <rPh sb="3" eb="4">
      <t>ベツ</t>
    </rPh>
    <rPh sb="10" eb="15">
      <t>オオサカジョウコウエン</t>
    </rPh>
    <rPh sb="16" eb="18">
      <t>ヨヤク</t>
    </rPh>
    <phoneticPr fontId="3"/>
  </si>
  <si>
    <r>
      <t>嵐山バス駐車場：</t>
    </r>
    <r>
      <rPr>
        <b/>
        <sz val="10"/>
        <color rgb="FFFF0000"/>
        <rFont val="ＭＳ Ｐゴシック"/>
        <family val="3"/>
        <charset val="128"/>
      </rPr>
      <t xml:space="preserve">OK
</t>
    </r>
    <r>
      <rPr>
        <sz val="10"/>
        <color theme="1"/>
        <rFont val="ＭＳ Ｐゴシック"/>
        <family val="3"/>
        <charset val="128"/>
      </rPr>
      <t>奈良公園駐車場：</t>
    </r>
    <r>
      <rPr>
        <b/>
        <sz val="10"/>
        <color rgb="FFFF0000"/>
        <rFont val="ＭＳ Ｐゴシック"/>
        <family val="3"/>
        <charset val="128"/>
      </rPr>
      <t>OK</t>
    </r>
    <rPh sb="0" eb="2">
      <t>アラシヤマ</t>
    </rPh>
    <rPh sb="11" eb="15">
      <t>ナラコウエン</t>
    </rPh>
    <phoneticPr fontId="3"/>
  </si>
  <si>
    <t>相撲フェスティバル銀座 (TOKYO SUMO FESTIVAL) 03-5579-9108</t>
    <rPh sb="0" eb="2">
      <t>スモウ</t>
    </rPh>
    <rPh sb="9" eb="11">
      <t>ギンザ</t>
    </rPh>
    <phoneticPr fontId="3"/>
  </si>
  <si>
    <t>〒104-0061東京都中央区銀座西3-5-1銀座インズ1-B1F</t>
    <phoneticPr fontId="3"/>
  </si>
  <si>
    <r>
      <t>スカイツリー(350m)</t>
    </r>
    <r>
      <rPr>
        <b/>
        <sz val="10"/>
        <color rgb="FFFF0000"/>
        <rFont val="ＭＳ Ｐゴシック"/>
        <family val="3"/>
        <charset val="128"/>
      </rPr>
      <t>OK</t>
    </r>
    <r>
      <rPr>
        <sz val="10"/>
        <color theme="1"/>
        <rFont val="ＭＳ Ｐゴシック"/>
        <family val="3"/>
        <charset val="128"/>
      </rPr>
      <t xml:space="preserve">
相撲フェスティバル</t>
    </r>
    <r>
      <rPr>
        <b/>
        <sz val="10"/>
        <color rgb="FFFF0000"/>
        <rFont val="ＭＳ Ｐゴシック"/>
        <family val="3"/>
        <charset val="128"/>
      </rPr>
      <t xml:space="preserve">OK
</t>
    </r>
    <r>
      <rPr>
        <sz val="10"/>
        <color theme="1"/>
        <rFont val="ＭＳ Ｐゴシック"/>
        <family val="3"/>
        <charset val="128"/>
      </rPr>
      <t>住所下記欄参照</t>
    </r>
    <rPh sb="15" eb="17">
      <t>スモウ</t>
    </rPh>
    <phoneticPr fontId="3"/>
  </si>
  <si>
    <t>狩野観光06-6686-2888/090-5057-0193</t>
    <phoneticPr fontId="3"/>
  </si>
  <si>
    <t>Life management 050-3171-3813/080-3337-3979</t>
    <phoneticPr fontId="3"/>
  </si>
  <si>
    <t>070-3545-6332</t>
    <phoneticPr fontId="3"/>
  </si>
  <si>
    <t>ビジャイ(VIJAY)</t>
    <phoneticPr fontId="3"/>
  </si>
  <si>
    <t>L:マンディール</t>
    <phoneticPr fontId="6"/>
  </si>
  <si>
    <t>〒105-0023東京都港区芝浦1-2-2 シーバンズ・ア・モール2F</t>
    <phoneticPr fontId="3"/>
  </si>
  <si>
    <t>L:ガネーシャ今出川</t>
    <rPh sb="7" eb="10">
      <t>イマデガワ</t>
    </rPh>
    <phoneticPr fontId="3"/>
  </si>
  <si>
    <t>〒602-0033京都府京都市上京区今出川通室町東入ル今出川町313 SAKURA BLD.3F</t>
    <phoneticPr fontId="3"/>
  </si>
  <si>
    <t>075-366-6122</t>
    <phoneticPr fontId="3"/>
  </si>
  <si>
    <t>D:タラキッチン北浜</t>
    <phoneticPr fontId="3"/>
  </si>
  <si>
    <t>06-4256-3615</t>
    <phoneticPr fontId="3"/>
  </si>
  <si>
    <t>〒541-0045大阪府大阪市中央区道修町1-2-11</t>
    <phoneticPr fontId="3"/>
  </si>
  <si>
    <t>L:ザ・ビストロ箱根</t>
    <rPh sb="8" eb="10">
      <t>ハコネ</t>
    </rPh>
    <phoneticPr fontId="3"/>
  </si>
  <si>
    <t>0460-83-8318</t>
    <phoneticPr fontId="3"/>
  </si>
  <si>
    <t>〒250-0521神奈川県足柄下郡箱根町箱根81-11</t>
    <phoneticPr fontId="3"/>
  </si>
  <si>
    <r>
      <t>8:45→9:15</t>
    </r>
    <r>
      <rPr>
        <b/>
        <sz val="13"/>
        <color rgb="FF0000FF"/>
        <rFont val="ＭＳ Ｐゴシック"/>
        <family val="3"/>
        <charset val="128"/>
      </rPr>
      <t xml:space="preserve">新大阪駅(ひかり702号・9:48発→11:49着) </t>
    </r>
    <r>
      <rPr>
        <sz val="13"/>
        <color theme="1"/>
        <rFont val="ＭＳ Ｐ明朝"/>
        <family val="1"/>
        <charset val="128"/>
      </rPr>
      <t>三島駅12:10→13:00</t>
    </r>
    <r>
      <rPr>
        <b/>
        <sz val="13"/>
        <color rgb="FF0000FF"/>
        <rFont val="ＭＳ Ｐゴシック"/>
        <family val="3"/>
        <charset val="128"/>
      </rPr>
      <t>桃源台駅(箱根ロープウェイ)</t>
    </r>
    <r>
      <rPr>
        <sz val="13"/>
        <color theme="1"/>
        <rFont val="ＭＳ Ｐ明朝"/>
        <family val="1"/>
        <charset val="128"/>
      </rPr>
      <t>→大涌谷駅13:40→14:05昼食14:50→16:15</t>
    </r>
    <r>
      <rPr>
        <b/>
        <sz val="13"/>
        <color theme="1"/>
        <rFont val="ＭＳ Ｐゴシック"/>
        <family val="3"/>
        <charset val="128"/>
      </rPr>
      <t>忍野八海</t>
    </r>
    <r>
      <rPr>
        <sz val="13"/>
        <color theme="1"/>
        <rFont val="ＭＳ Ｐ明朝"/>
        <family val="1"/>
        <charset val="128"/>
      </rPr>
      <t>17:15→19:15夕食20:15→20:45ホテル</t>
    </r>
    <rPh sb="55" eb="57">
      <t>ハコネ</t>
    </rPh>
    <rPh sb="68" eb="69">
      <t>エキ</t>
    </rPh>
    <rPh sb="80" eb="82">
      <t>チュウショク</t>
    </rPh>
    <rPh sb="108" eb="110">
      <t>ユウショク</t>
    </rPh>
    <phoneticPr fontId="3"/>
  </si>
  <si>
    <t>KIC1153_KK (1)</t>
    <phoneticPr fontId="3"/>
  </si>
  <si>
    <t>KIC1153_KK (2)</t>
    <phoneticPr fontId="3"/>
  </si>
  <si>
    <r>
      <rPr>
        <sz val="16"/>
        <color theme="1"/>
        <rFont val="Times New Roman"/>
        <family val="1"/>
      </rPr>
      <t xml:space="preserve"> 44</t>
    </r>
    <r>
      <rPr>
        <sz val="16"/>
        <color theme="1"/>
        <rFont val="ＭＳ Ｐ明朝"/>
        <family val="1"/>
        <charset val="128"/>
      </rPr>
      <t>名+</t>
    </r>
    <r>
      <rPr>
        <sz val="16"/>
        <color theme="1"/>
        <rFont val="Times New Roman"/>
        <family val="1"/>
      </rPr>
      <t>2</t>
    </r>
    <r>
      <rPr>
        <sz val="24"/>
        <color theme="1"/>
        <rFont val="ＭＳ Ｐ明朝"/>
        <family val="1"/>
        <charset val="128"/>
      </rPr>
      <t>　</t>
    </r>
    <r>
      <rPr>
        <sz val="14"/>
        <color theme="1"/>
        <rFont val="Times New Roman"/>
        <family val="1"/>
      </rPr>
      <t xml:space="preserve">  </t>
    </r>
    <phoneticPr fontId="3"/>
  </si>
  <si>
    <t>Ｋ</t>
    <phoneticPr fontId="3"/>
  </si>
  <si>
    <r>
      <t>9:00(徒歩)～</t>
    </r>
    <r>
      <rPr>
        <b/>
        <sz val="13"/>
        <color theme="0"/>
        <rFont val="ＭＳ Ｐゴシック"/>
        <family val="3"/>
        <charset val="128"/>
      </rPr>
      <t>浅草寺＋仲見世通り</t>
    </r>
    <r>
      <rPr>
        <sz val="13"/>
        <color theme="0"/>
        <rFont val="ＭＳ Ｐ明朝"/>
        <family val="1"/>
        <charset val="128"/>
      </rPr>
      <t>(徒歩～ホテル戻り)10:30→10:45</t>
    </r>
    <r>
      <rPr>
        <b/>
        <sz val="13"/>
        <color theme="0"/>
        <rFont val="ＭＳ Ｐゴシック"/>
        <family val="3"/>
        <charset val="128"/>
      </rPr>
      <t>東京スカイツリー(350m)</t>
    </r>
    <r>
      <rPr>
        <sz val="13"/>
        <color theme="0"/>
        <rFont val="ＭＳ Ｐ明朝"/>
        <family val="1"/>
        <charset val="128"/>
      </rPr>
      <t>12:30→13:00昼食14:00→14:15</t>
    </r>
    <r>
      <rPr>
        <b/>
        <sz val="13"/>
        <color theme="0"/>
        <rFont val="ＭＳ Ｐゴシック"/>
        <family val="3"/>
        <charset val="128"/>
      </rPr>
      <t>銀座＋相撲</t>
    </r>
    <r>
      <rPr>
        <sz val="13"/>
        <color theme="0"/>
        <rFont val="ＭＳ Ｐ明朝"/>
        <family val="1"/>
        <charset val="128"/>
      </rPr>
      <t>（15:00～）18:30→19:00</t>
    </r>
    <r>
      <rPr>
        <b/>
        <sz val="13"/>
        <color theme="0"/>
        <rFont val="ＭＳ Ｐゴシック"/>
        <family val="3"/>
        <charset val="128"/>
      </rPr>
      <t>カクテルディナー</t>
    </r>
    <r>
      <rPr>
        <sz val="13"/>
        <color theme="0"/>
        <rFont val="ＭＳ Ｐ明朝"/>
        <family val="1"/>
        <charset val="128"/>
      </rPr>
      <t>21:00→21:30ホテル</t>
    </r>
    <rPh sb="5" eb="7">
      <t>トホ</t>
    </rPh>
    <rPh sb="19" eb="21">
      <t>トホ</t>
    </rPh>
    <rPh sb="25" eb="26">
      <t>モド</t>
    </rPh>
    <phoneticPr fontId="3"/>
  </si>
  <si>
    <r>
      <t>スカイツリー(350m)</t>
    </r>
    <r>
      <rPr>
        <b/>
        <sz val="10"/>
        <color theme="0"/>
        <rFont val="ＭＳ Ｐゴシック"/>
        <family val="3"/>
        <charset val="128"/>
      </rPr>
      <t>OK</t>
    </r>
    <r>
      <rPr>
        <sz val="10"/>
        <color theme="0"/>
        <rFont val="ＭＳ Ｐゴシック"/>
        <family val="3"/>
        <charset val="128"/>
      </rPr>
      <t xml:space="preserve">
相撲フェスティバル</t>
    </r>
    <r>
      <rPr>
        <b/>
        <sz val="10"/>
        <color theme="0"/>
        <rFont val="ＭＳ Ｐゴシック"/>
        <family val="3"/>
        <charset val="128"/>
      </rPr>
      <t xml:space="preserve">OK
</t>
    </r>
    <r>
      <rPr>
        <sz val="10"/>
        <color theme="0"/>
        <rFont val="ＭＳ Ｐゴシック"/>
        <family val="3"/>
        <charset val="128"/>
      </rPr>
      <t>住所下記欄参照</t>
    </r>
    <rPh sb="15" eb="17">
      <t>スモウ</t>
    </rPh>
    <phoneticPr fontId="3"/>
  </si>
  <si>
    <r>
      <t>6:45→7:50</t>
    </r>
    <r>
      <rPr>
        <b/>
        <sz val="13"/>
        <color theme="0"/>
        <rFont val="ＭＳ Ｐゴシック"/>
        <family val="3"/>
        <charset val="128"/>
      </rPr>
      <t>成田空港・第1(TG641/10:50発)</t>
    </r>
    <rPh sb="9" eb="11">
      <t>ナリタ</t>
    </rPh>
    <phoneticPr fontId="3"/>
  </si>
  <si>
    <r>
      <t>狩野／</t>
    </r>
    <r>
      <rPr>
        <sz val="12"/>
        <color theme="0"/>
        <rFont val="ＭＳ Ｐゴシック"/>
        <family val="3"/>
        <charset val="128"/>
      </rPr>
      <t>Life</t>
    </r>
    <rPh sb="0" eb="2">
      <t>カノウ</t>
    </rPh>
    <phoneticPr fontId="3"/>
  </si>
  <si>
    <r>
      <t>8:45→9:15</t>
    </r>
    <r>
      <rPr>
        <b/>
        <sz val="13"/>
        <color rgb="FF0000FF"/>
        <rFont val="ＭＳ Ｐゴシック"/>
        <family val="3"/>
        <charset val="128"/>
      </rPr>
      <t>新大阪駅(ひかり702号・9:48発→</t>
    </r>
    <r>
      <rPr>
        <b/>
        <sz val="13"/>
        <color theme="0"/>
        <rFont val="ＭＳ Ｐゴシック"/>
        <family val="3"/>
        <charset val="128"/>
      </rPr>
      <t xml:space="preserve">11:49着) </t>
    </r>
    <r>
      <rPr>
        <sz val="13"/>
        <color theme="0"/>
        <rFont val="ＭＳ Ｐ明朝"/>
        <family val="1"/>
        <charset val="128"/>
      </rPr>
      <t>三島駅12:10→12:45昼食13:45→14:10</t>
    </r>
    <r>
      <rPr>
        <b/>
        <sz val="13"/>
        <color theme="0"/>
        <rFont val="ＭＳ Ｐゴシック"/>
        <family val="3"/>
        <charset val="128"/>
      </rPr>
      <t>桃源台駅(箱根ロープウェイ)</t>
    </r>
    <r>
      <rPr>
        <sz val="13"/>
        <color theme="0"/>
        <rFont val="ＭＳ Ｐ明朝"/>
        <family val="1"/>
        <charset val="128"/>
      </rPr>
      <t>→大涌谷駅14:50→16:15</t>
    </r>
    <r>
      <rPr>
        <b/>
        <sz val="13"/>
        <color theme="0"/>
        <rFont val="ＭＳ Ｐゴシック"/>
        <family val="3"/>
        <charset val="128"/>
      </rPr>
      <t>忍野八海</t>
    </r>
    <r>
      <rPr>
        <sz val="13"/>
        <color theme="0"/>
        <rFont val="ＭＳ Ｐ明朝"/>
        <family val="1"/>
        <charset val="128"/>
      </rPr>
      <t>17:15→19:15夕食20:15→20:45ホテル</t>
    </r>
    <rPh sb="50" eb="52">
      <t>チュウショク</t>
    </rPh>
    <rPh sb="68" eb="70">
      <t>ハコネ</t>
    </rPh>
    <rPh sb="81" eb="82">
      <t>エキ</t>
    </rPh>
    <rPh sb="108" eb="110">
      <t>ユウショク</t>
    </rPh>
    <phoneticPr fontId="3"/>
  </si>
  <si>
    <r>
      <t>新大阪駅バスP未
新幹線：</t>
    </r>
    <r>
      <rPr>
        <b/>
        <sz val="10"/>
        <color rgb="FFFF0000"/>
        <rFont val="ＭＳ Ｐゴシック"/>
        <family val="3"/>
        <charset val="128"/>
      </rPr>
      <t>OK</t>
    </r>
    <r>
      <rPr>
        <sz val="10"/>
        <color theme="0"/>
        <rFont val="ＭＳ Ｐゴシック"/>
        <family val="3"/>
        <charset val="128"/>
      </rPr>
      <t xml:space="preserve">
箱根ロープウェイ</t>
    </r>
    <r>
      <rPr>
        <b/>
        <sz val="10"/>
        <color theme="0"/>
        <rFont val="ＭＳ Ｐゴシック"/>
        <family val="3"/>
        <charset val="128"/>
      </rPr>
      <t>OK</t>
    </r>
    <rPh sb="16" eb="18">
      <t>ハコネ</t>
    </rPh>
    <phoneticPr fontId="3"/>
  </si>
  <si>
    <r>
      <rPr>
        <b/>
        <sz val="13"/>
        <color theme="0"/>
        <rFont val="ＭＳ Ｐゴシック"/>
        <family val="3"/>
        <charset val="128"/>
      </rPr>
      <t>(TG672/15:55着) 関西空港</t>
    </r>
    <r>
      <rPr>
        <sz val="13"/>
        <color theme="0"/>
        <rFont val="ＭＳ Ｐゴシック"/>
        <family val="3"/>
        <charset val="128"/>
      </rPr>
      <t xml:space="preserve"> </t>
    </r>
    <r>
      <rPr>
        <sz val="13"/>
        <color theme="0"/>
        <rFont val="ＭＳ Ｐ明朝"/>
        <family val="1"/>
        <charset val="128"/>
      </rPr>
      <t>17:30→18:30夕食19:30→20:00ホテル</t>
    </r>
    <rPh sb="15" eb="17">
      <t>カンサイ</t>
    </rPh>
    <rPh sb="17" eb="19">
      <t>クウコウ</t>
    </rPh>
    <phoneticPr fontId="3"/>
  </si>
  <si>
    <r>
      <rPr>
        <b/>
        <sz val="10"/>
        <color theme="0"/>
        <rFont val="ＭＳ Ｐゴシック"/>
        <family val="3"/>
        <charset val="128"/>
      </rPr>
      <t>DRV別宿</t>
    </r>
    <r>
      <rPr>
        <sz val="10"/>
        <color theme="0"/>
        <rFont val="ＭＳ Ｐゴシック"/>
        <family val="3"/>
        <charset val="128"/>
      </rPr>
      <t xml:space="preserve">、
</t>
    </r>
    <r>
      <rPr>
        <sz val="9"/>
        <color theme="0"/>
        <rFont val="ＭＳ Ｐゴシック"/>
        <family val="3"/>
        <charset val="128"/>
      </rPr>
      <t>バスP大阪城公園(予約なし)</t>
    </r>
    <r>
      <rPr>
        <sz val="10"/>
        <color theme="0"/>
        <rFont val="ＭＳ Ｐゴシック"/>
        <family val="3"/>
        <charset val="128"/>
      </rPr>
      <t xml:space="preserve">	
	</t>
    </r>
    <rPh sb="3" eb="4">
      <t>ベツ</t>
    </rPh>
    <rPh sb="10" eb="15">
      <t>オオサカジョウコウエン</t>
    </rPh>
    <rPh sb="16" eb="18">
      <t>ヨヤク</t>
    </rPh>
    <phoneticPr fontId="3"/>
  </si>
  <si>
    <r>
      <t>9:30→10:45</t>
    </r>
    <r>
      <rPr>
        <b/>
        <sz val="13"/>
        <color theme="0"/>
        <rFont val="ＭＳ Ｐゴシック"/>
        <family val="3"/>
        <charset val="128"/>
      </rPr>
      <t>嵐山・竹林</t>
    </r>
    <r>
      <rPr>
        <sz val="13"/>
        <color theme="0"/>
        <rFont val="ＭＳ Ｐ明朝"/>
        <family val="1"/>
        <charset val="128"/>
      </rPr>
      <t>12:00→12:30昼食13:30→14:00</t>
    </r>
    <r>
      <rPr>
        <b/>
        <sz val="13"/>
        <color theme="0"/>
        <rFont val="ＭＳ Ｐゴシック"/>
        <family val="3"/>
        <charset val="128"/>
      </rPr>
      <t>伏見稲荷大社</t>
    </r>
    <r>
      <rPr>
        <sz val="13"/>
        <color theme="0"/>
        <rFont val="ＭＳ Ｐ明朝"/>
        <family val="1"/>
        <charset val="128"/>
      </rPr>
      <t>15:15→16:15</t>
    </r>
    <r>
      <rPr>
        <b/>
        <sz val="13"/>
        <color theme="0"/>
        <rFont val="ＭＳ Ｐゴシック"/>
        <family val="3"/>
        <charset val="128"/>
      </rPr>
      <t>東大寺</t>
    </r>
    <r>
      <rPr>
        <b/>
        <sz val="13"/>
        <color theme="0"/>
        <rFont val="ＭＳ Ｐ明朝"/>
        <family val="1"/>
        <charset val="128"/>
      </rPr>
      <t>【ラストエントリー17:00】、</t>
    </r>
    <r>
      <rPr>
        <b/>
        <sz val="13"/>
        <color theme="0"/>
        <rFont val="ＭＳ Ｐゴシック"/>
        <family val="3"/>
        <charset val="128"/>
      </rPr>
      <t>奈良公園</t>
    </r>
    <r>
      <rPr>
        <sz val="13"/>
        <color theme="0"/>
        <rFont val="ＭＳ Ｐ明朝"/>
        <family val="1"/>
        <charset val="128"/>
      </rPr>
      <t>18:00→19:00夕食20:00→20:30ホテル</t>
    </r>
    <rPh sb="75" eb="79">
      <t>ナラコウエン</t>
    </rPh>
    <phoneticPr fontId="3"/>
  </si>
  <si>
    <r>
      <t>嵐山バス駐車場：</t>
    </r>
    <r>
      <rPr>
        <b/>
        <sz val="10"/>
        <color theme="0"/>
        <rFont val="ＭＳ Ｐゴシック"/>
        <family val="3"/>
        <charset val="128"/>
      </rPr>
      <t xml:space="preserve">OK
</t>
    </r>
    <r>
      <rPr>
        <sz val="10"/>
        <color theme="0"/>
        <rFont val="ＭＳ Ｐゴシック"/>
        <family val="3"/>
        <charset val="128"/>
      </rPr>
      <t>奈良公園駐車場：</t>
    </r>
    <r>
      <rPr>
        <b/>
        <sz val="10"/>
        <color theme="0"/>
        <rFont val="ＭＳ Ｐゴシック"/>
        <family val="3"/>
        <charset val="128"/>
      </rPr>
      <t>OK</t>
    </r>
    <rPh sb="0" eb="2">
      <t>アラシヤマ</t>
    </rPh>
    <rPh sb="11" eb="15">
      <t>ナラコウエン</t>
    </rPh>
    <phoneticPr fontId="3"/>
  </si>
  <si>
    <r>
      <rPr>
        <sz val="12"/>
        <color theme="0"/>
        <rFont val="ＭＳ Ｐゴシック"/>
        <family val="3"/>
        <charset val="128"/>
      </rPr>
      <t>狩野</t>
    </r>
    <r>
      <rPr>
        <sz val="12"/>
        <color theme="1"/>
        <rFont val="ＭＳ Ｐゴシック"/>
        <family val="3"/>
        <charset val="128"/>
      </rPr>
      <t>／Life</t>
    </r>
    <rPh sb="0" eb="2">
      <t>カノウ</t>
    </rPh>
    <phoneticPr fontId="3"/>
  </si>
  <si>
    <r>
      <t>狩野</t>
    </r>
    <r>
      <rPr>
        <sz val="12"/>
        <color theme="1"/>
        <rFont val="ＭＳ Ｐゴシック"/>
        <family val="3"/>
        <charset val="128"/>
      </rPr>
      <t>／Life</t>
    </r>
    <rPh sb="0" eb="2">
      <t>カノウ</t>
    </rPh>
    <phoneticPr fontId="3"/>
  </si>
  <si>
    <r>
      <rPr>
        <sz val="13"/>
        <color theme="0"/>
        <rFont val="ＭＳ Ｐ明朝"/>
        <family val="1"/>
        <charset val="128"/>
      </rPr>
      <t>8:45→9:15</t>
    </r>
    <r>
      <rPr>
        <b/>
        <sz val="13"/>
        <color theme="0"/>
        <rFont val="ＭＳ Ｐゴシック"/>
        <family val="3"/>
        <charset val="128"/>
      </rPr>
      <t>新大阪駅</t>
    </r>
    <r>
      <rPr>
        <b/>
        <sz val="13"/>
        <color rgb="FF0000FF"/>
        <rFont val="ＭＳ Ｐゴシック"/>
        <family val="3"/>
        <charset val="128"/>
      </rPr>
      <t>(ひかり702号</t>
    </r>
    <r>
      <rPr>
        <b/>
        <sz val="13"/>
        <color theme="0"/>
        <rFont val="ＭＳ Ｐゴシック"/>
        <family val="3"/>
        <charset val="128"/>
      </rPr>
      <t>・9:48発</t>
    </r>
    <r>
      <rPr>
        <b/>
        <sz val="13"/>
        <color rgb="FF0000FF"/>
        <rFont val="ＭＳ Ｐゴシック"/>
        <family val="3"/>
        <charset val="128"/>
      </rPr>
      <t xml:space="preserve">→11:49着) </t>
    </r>
    <r>
      <rPr>
        <sz val="13"/>
        <color theme="1"/>
        <rFont val="ＭＳ Ｐ明朝"/>
        <family val="1"/>
        <charset val="128"/>
      </rPr>
      <t>三島駅12:10→12:45昼食13:45→14:10</t>
    </r>
    <r>
      <rPr>
        <b/>
        <sz val="13"/>
        <color rgb="FF0000FF"/>
        <rFont val="ＭＳ Ｐゴシック"/>
        <family val="3"/>
        <charset val="128"/>
      </rPr>
      <t>桃源台駅(箱根ロープウェイ)</t>
    </r>
    <r>
      <rPr>
        <sz val="13"/>
        <color theme="1"/>
        <rFont val="ＭＳ Ｐ明朝"/>
        <family val="1"/>
        <charset val="128"/>
      </rPr>
      <t>→大涌谷駅14:50→16:15</t>
    </r>
    <r>
      <rPr>
        <b/>
        <sz val="13"/>
        <color theme="1"/>
        <rFont val="ＭＳ Ｐゴシック"/>
        <family val="3"/>
        <charset val="128"/>
      </rPr>
      <t>忍野八海</t>
    </r>
    <r>
      <rPr>
        <sz val="13"/>
        <color theme="1"/>
        <rFont val="ＭＳ Ｐ明朝"/>
        <family val="1"/>
        <charset val="128"/>
      </rPr>
      <t>17:15→19:15夕食20:15→20:45ホテル</t>
    </r>
    <rPh sb="50" eb="52">
      <t>チュウショク</t>
    </rPh>
    <rPh sb="68" eb="70">
      <t>ハコネ</t>
    </rPh>
    <rPh sb="81" eb="82">
      <t>エキ</t>
    </rPh>
    <rPh sb="108" eb="110">
      <t>ユウショク</t>
    </rPh>
    <phoneticPr fontId="3"/>
  </si>
  <si>
    <r>
      <t>8:45→9:15</t>
    </r>
    <r>
      <rPr>
        <b/>
        <sz val="13"/>
        <color theme="0"/>
        <rFont val="ＭＳ Ｐゴシック"/>
        <family val="3"/>
        <charset val="128"/>
      </rPr>
      <t>新大阪駅</t>
    </r>
    <r>
      <rPr>
        <b/>
        <sz val="13"/>
        <color rgb="FF0000FF"/>
        <rFont val="ＭＳ Ｐゴシック"/>
        <family val="3"/>
        <charset val="128"/>
      </rPr>
      <t>(ひかり702号</t>
    </r>
    <r>
      <rPr>
        <b/>
        <sz val="13"/>
        <color theme="0"/>
        <rFont val="ＭＳ Ｐゴシック"/>
        <family val="3"/>
        <charset val="128"/>
      </rPr>
      <t>・9:48発</t>
    </r>
    <r>
      <rPr>
        <b/>
        <sz val="13"/>
        <color rgb="FF0000FF"/>
        <rFont val="ＭＳ Ｐゴシック"/>
        <family val="3"/>
        <charset val="128"/>
      </rPr>
      <t xml:space="preserve">→11:49着) </t>
    </r>
    <r>
      <rPr>
        <sz val="13"/>
        <color theme="1"/>
        <rFont val="ＭＳ Ｐ明朝"/>
        <family val="1"/>
        <charset val="128"/>
      </rPr>
      <t>三島駅12:10→12:45昼食13:45→14:10</t>
    </r>
    <r>
      <rPr>
        <b/>
        <sz val="13"/>
        <color rgb="FF0000FF"/>
        <rFont val="ＭＳ Ｐゴシック"/>
        <family val="3"/>
        <charset val="128"/>
      </rPr>
      <t>桃源台駅(箱根ロープウェイ)</t>
    </r>
    <r>
      <rPr>
        <sz val="13"/>
        <color theme="1"/>
        <rFont val="ＭＳ Ｐ明朝"/>
        <family val="1"/>
        <charset val="128"/>
      </rPr>
      <t>→大涌谷駅14:50→16:15</t>
    </r>
    <r>
      <rPr>
        <b/>
        <sz val="13"/>
        <color theme="1"/>
        <rFont val="ＭＳ Ｐゴシック"/>
        <family val="3"/>
        <charset val="128"/>
      </rPr>
      <t>忍野八海</t>
    </r>
    <r>
      <rPr>
        <sz val="13"/>
        <color theme="1"/>
        <rFont val="ＭＳ Ｐ明朝"/>
        <family val="1"/>
        <charset val="128"/>
      </rPr>
      <t>17:15→19:15夕食20:15→20:45ホテル</t>
    </r>
    <rPh sb="50" eb="52">
      <t>チュウショク</t>
    </rPh>
    <rPh sb="68" eb="70">
      <t>ハコネ</t>
    </rPh>
    <rPh sb="81" eb="82">
      <t>エキ</t>
    </rPh>
    <rPh sb="108" eb="110">
      <t>ユウショク</t>
    </rPh>
    <phoneticPr fontId="3"/>
  </si>
  <si>
    <r>
      <rPr>
        <sz val="10"/>
        <color theme="0"/>
        <rFont val="ＭＳ Ｐゴシック"/>
        <family val="3"/>
        <charset val="128"/>
      </rPr>
      <t>新大阪駅バスP未</t>
    </r>
    <r>
      <rPr>
        <sz val="10"/>
        <color theme="1"/>
        <rFont val="ＭＳ Ｐゴシック"/>
        <family val="3"/>
        <charset val="128"/>
      </rPr>
      <t xml:space="preserve">
新幹線：</t>
    </r>
    <r>
      <rPr>
        <b/>
        <sz val="10"/>
        <color rgb="FFFF0000"/>
        <rFont val="ＭＳ Ｐゴシック"/>
        <family val="3"/>
        <charset val="128"/>
      </rPr>
      <t>OK</t>
    </r>
    <r>
      <rPr>
        <sz val="10"/>
        <color theme="1"/>
        <rFont val="ＭＳ Ｐゴシック"/>
        <family val="3"/>
        <charset val="128"/>
      </rPr>
      <t xml:space="preserve">
箱根ロープウェイ</t>
    </r>
    <r>
      <rPr>
        <b/>
        <sz val="10"/>
        <color rgb="FFFF0000"/>
        <rFont val="ＭＳ Ｐゴシック"/>
        <family val="3"/>
        <charset val="128"/>
      </rPr>
      <t>OK</t>
    </r>
    <rPh sb="16" eb="18">
      <t>ハコネ</t>
    </rPh>
    <phoneticPr fontId="3"/>
  </si>
  <si>
    <r>
      <t>新大阪駅バスP未</t>
    </r>
    <r>
      <rPr>
        <sz val="10"/>
        <color theme="1"/>
        <rFont val="ＭＳ Ｐゴシック"/>
        <family val="3"/>
        <charset val="128"/>
      </rPr>
      <t xml:space="preserve">
新幹線：</t>
    </r>
    <r>
      <rPr>
        <b/>
        <sz val="10"/>
        <color rgb="FFFF0000"/>
        <rFont val="ＭＳ Ｐゴシック"/>
        <family val="3"/>
        <charset val="128"/>
      </rPr>
      <t>OK</t>
    </r>
    <r>
      <rPr>
        <sz val="10"/>
        <color theme="1"/>
        <rFont val="ＭＳ Ｐゴシック"/>
        <family val="3"/>
        <charset val="128"/>
      </rPr>
      <t xml:space="preserve">
箱根ロープウェイ</t>
    </r>
    <r>
      <rPr>
        <b/>
        <sz val="10"/>
        <color rgb="FFFF0000"/>
        <rFont val="ＭＳ Ｐゴシック"/>
        <family val="3"/>
        <charset val="128"/>
      </rPr>
      <t>OK</t>
    </r>
    <rPh sb="16" eb="18">
      <t>ハコネ</t>
    </rPh>
    <phoneticPr fontId="3"/>
  </si>
  <si>
    <t>※重要：必ず、前日にホテル、レストラン、観光施設に人数確認をする。ツアーリーダーの英語日程とすりあわせをすること！</t>
    <rPh sb="20" eb="24">
      <t>カンコウシセツ</t>
    </rPh>
    <phoneticPr fontId="3"/>
  </si>
  <si>
    <t>※重要：必ず、前日にホテル、レストラン、観光施設に人数確認をする。ツアーリーダーの英語日程とすりあわせをすること！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</si>
</sst>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;@"/>
    <numFmt numFmtId="177" formatCode="\(aaa\)"/>
    <numFmt numFmtId="178" formatCode="#"/>
  </numFmts>
  <fonts count="7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sz val="6"/>
      <name val="游ゴシック"/>
      <family val="3"/>
      <charset val="128"/>
      <scheme val="minor"/>
    </font>
    <font>
      <sz val="14"/>
      <color theme="1"/>
      <name val="Yu Gothic"/>
      <family val="3"/>
      <charset val="128"/>
    </font>
    <font>
      <sz val="14"/>
      <color theme="1"/>
      <name val="Times New Roman"/>
      <family val="1"/>
    </font>
    <font>
      <sz val="11"/>
      <color theme="1"/>
      <name val="游ゴシック"/>
      <family val="3"/>
      <charset val="128"/>
      <scheme val="minor"/>
    </font>
    <font>
      <sz val="24"/>
      <color theme="1"/>
      <name val="Times New Roman"/>
      <family val="1"/>
    </font>
    <font>
      <sz val="24"/>
      <color theme="1"/>
      <name val="ＭＳ Ｐ明朝"/>
      <family val="1"/>
      <charset val="128"/>
    </font>
    <font>
      <sz val="16"/>
      <name val="Times New Roman"/>
      <family val="1"/>
    </font>
    <font>
      <sz val="16"/>
      <color theme="1"/>
      <name val="Times New Roman"/>
      <family val="1"/>
    </font>
    <font>
      <sz val="12"/>
      <color theme="1"/>
      <name val="Yu Gothic UI"/>
      <family val="3"/>
      <charset val="128"/>
    </font>
    <font>
      <sz val="16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8"/>
      <color theme="1"/>
      <name val="ＭＳ Ｐ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b/>
      <sz val="10"/>
      <color theme="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2"/>
      <name val="Yu Gothic UI"/>
      <family val="3"/>
      <charset val="128"/>
    </font>
    <font>
      <b/>
      <sz val="12"/>
      <color theme="1"/>
      <name val="ＭＳ Ｐゴシック"/>
      <family val="3"/>
      <charset val="128"/>
    </font>
    <font>
      <sz val="14"/>
      <name val="Times New Roman"/>
      <family val="1"/>
    </font>
    <font>
      <sz val="14"/>
      <color theme="0"/>
      <name val="Times New Roman"/>
      <family val="1"/>
      <charset val="128"/>
    </font>
    <font>
      <b/>
      <i/>
      <sz val="14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9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2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6"/>
      <name val="ＭＳ Ｐ明朝"/>
      <family val="1"/>
      <charset val="128"/>
    </font>
    <font>
      <sz val="12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4"/>
      <color theme="0"/>
      <name val="ＭＳ Ｐゴシック"/>
      <family val="3"/>
      <charset val="128"/>
    </font>
    <font>
      <b/>
      <i/>
      <sz val="14"/>
      <color theme="1" tint="0.499984740745262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sz val="11"/>
      <color rgb="FF000000"/>
      <name val="Yu Gothic UI"/>
      <family val="3"/>
      <charset val="128"/>
    </font>
    <font>
      <sz val="10"/>
      <color theme="0"/>
      <name val="Times New Roman"/>
      <family val="1"/>
    </font>
    <font>
      <sz val="13"/>
      <color theme="1"/>
      <name val="ＭＳ Ｐ明朝"/>
      <family val="1"/>
      <charset val="128"/>
    </font>
    <font>
      <sz val="13"/>
      <color theme="1"/>
      <name val="ＭＳ Ｐゴシック"/>
      <family val="3"/>
      <charset val="128"/>
    </font>
    <font>
      <sz val="13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3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3"/>
      <color theme="1"/>
      <name val="ＭＳ Ｐゴシック"/>
      <family val="3"/>
      <charset val="128"/>
    </font>
    <font>
      <sz val="13"/>
      <color theme="1"/>
      <name val="ＭＳ Ｐ明朝"/>
      <family val="3"/>
      <charset val="128"/>
    </font>
    <font>
      <b/>
      <sz val="13"/>
      <color theme="1"/>
      <name val="ＭＳ Ｐ明朝"/>
      <family val="1"/>
      <charset val="128"/>
    </font>
    <font>
      <sz val="11"/>
      <color theme="0"/>
      <name val="Times New Roman"/>
      <family val="1"/>
    </font>
    <font>
      <sz val="16"/>
      <color theme="0"/>
      <name val="Times New Roman"/>
      <family val="1"/>
    </font>
    <font>
      <sz val="13"/>
      <color theme="0"/>
      <name val="ＭＳ Ｐ明朝"/>
      <family val="1"/>
      <charset val="128"/>
    </font>
    <font>
      <b/>
      <sz val="13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4"/>
      <color theme="0"/>
      <name val="ＭＳ Ｐ明朝"/>
      <family val="1"/>
      <charset val="128"/>
    </font>
    <font>
      <sz val="14"/>
      <color theme="0"/>
      <name val="Times New Roman"/>
      <family val="1"/>
    </font>
    <font>
      <sz val="12"/>
      <color theme="0"/>
      <name val="Yu Gothic UI"/>
      <family val="3"/>
      <charset val="128"/>
    </font>
    <font>
      <sz val="12"/>
      <color theme="0"/>
      <name val="Times New Roman"/>
      <family val="1"/>
    </font>
    <font>
      <sz val="12"/>
      <color theme="0"/>
      <name val="ＭＳ Ｐ明朝"/>
      <family val="1"/>
      <charset val="128"/>
    </font>
    <font>
      <sz val="18"/>
      <color theme="0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sz val="13"/>
      <color theme="0"/>
      <name val="ＭＳ Ｐ明朝"/>
      <family val="3"/>
      <charset val="128"/>
    </font>
    <font>
      <sz val="13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sz val="13"/>
      <color theme="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</cellStyleXfs>
  <cellXfs count="368">
    <xf numFmtId="0" fontId="0" fillId="0" borderId="0" xfId="0">
      <alignment vertical="center"/>
    </xf>
    <xf numFmtId="0" fontId="26" fillId="0" borderId="21" xfId="0" applyFont="1" applyBorder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0" fontId="33" fillId="0" borderId="0" xfId="0" applyFont="1">
      <alignment vertical="center"/>
    </xf>
    <xf numFmtId="0" fontId="34" fillId="0" borderId="32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0" fillId="0" borderId="0" xfId="0" applyFont="1" applyAlignment="1" applyProtection="1">
      <alignment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5" fillId="0" borderId="20" xfId="0" applyFont="1" applyBorder="1" applyProtection="1">
      <alignment vertical="center"/>
      <protection locked="0"/>
    </xf>
    <xf numFmtId="0" fontId="23" fillId="2" borderId="0" xfId="0" applyFont="1" applyFill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vertical="center" wrapText="1"/>
      <protection locked="0"/>
    </xf>
    <xf numFmtId="0" fontId="20" fillId="0" borderId="20" xfId="0" applyFont="1" applyBorder="1" applyAlignment="1" applyProtection="1">
      <alignment horizontal="left" vertical="top" wrapText="1"/>
      <protection locked="0"/>
    </xf>
    <xf numFmtId="0" fontId="18" fillId="0" borderId="20" xfId="0" applyFont="1" applyBorder="1" applyAlignment="1" applyProtection="1">
      <alignment horizontal="left" vertical="top" wrapText="1"/>
      <protection locked="0"/>
    </xf>
    <xf numFmtId="177" fontId="29" fillId="0" borderId="5" xfId="0" applyNumberFormat="1" applyFont="1" applyBorder="1" applyAlignment="1" applyProtection="1">
      <alignment horizontal="left" vertical="center"/>
      <protection locked="0"/>
    </xf>
    <xf numFmtId="177" fontId="41" fillId="0" borderId="0" xfId="0" applyNumberFormat="1" applyFont="1" applyAlignment="1" applyProtection="1">
      <alignment horizontal="left" vertical="center"/>
      <protection locked="0"/>
    </xf>
    <xf numFmtId="0" fontId="40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center" shrinkToFit="1"/>
      <protection locked="0"/>
    </xf>
    <xf numFmtId="0" fontId="43" fillId="0" borderId="0" xfId="0" applyFont="1" applyAlignment="1" applyProtection="1">
      <alignment horizontal="center" vertical="center" shrinkToFit="1"/>
      <protection locked="0"/>
    </xf>
    <xf numFmtId="0" fontId="44" fillId="2" borderId="0" xfId="0" applyFont="1" applyFill="1">
      <alignment vertical="center"/>
    </xf>
    <xf numFmtId="0" fontId="43" fillId="2" borderId="0" xfId="0" applyFont="1" applyFill="1" applyAlignment="1" applyProtection="1">
      <alignment horizontal="center" vertical="center" shrinkToFit="1"/>
      <protection locked="0"/>
    </xf>
    <xf numFmtId="0" fontId="40" fillId="2" borderId="0" xfId="0" applyFont="1" applyFill="1" applyAlignment="1" applyProtection="1">
      <alignment horizontal="left" vertical="center"/>
      <protection locked="0"/>
    </xf>
    <xf numFmtId="20" fontId="31" fillId="2" borderId="0" xfId="0" applyNumberFormat="1" applyFont="1" applyFill="1" applyAlignment="1" applyProtection="1">
      <alignment horizontal="center" vertical="center"/>
      <protection locked="0"/>
    </xf>
    <xf numFmtId="0" fontId="42" fillId="2" borderId="12" xfId="0" applyFont="1" applyFill="1" applyBorder="1" applyAlignment="1" applyProtection="1">
      <alignment horizontal="center" vertical="center"/>
      <protection locked="0"/>
    </xf>
    <xf numFmtId="177" fontId="29" fillId="0" borderId="11" xfId="0" applyNumberFormat="1" applyFont="1" applyBorder="1" applyAlignment="1" applyProtection="1">
      <alignment horizontal="left" vertical="center"/>
      <protection locked="0"/>
    </xf>
    <xf numFmtId="0" fontId="44" fillId="0" borderId="0" xfId="0" applyFont="1">
      <alignment vertical="center"/>
    </xf>
    <xf numFmtId="0" fontId="40" fillId="0" borderId="0" xfId="0" applyFont="1" applyAlignment="1" applyProtection="1">
      <alignment horizontal="right" vertical="center"/>
      <protection locked="0"/>
    </xf>
    <xf numFmtId="0" fontId="40" fillId="0" borderId="0" xfId="0" applyFont="1" applyAlignment="1" applyProtection="1">
      <alignment horizontal="left" vertical="center"/>
      <protection locked="0"/>
    </xf>
    <xf numFmtId="20" fontId="31" fillId="0" borderId="0" xfId="0" applyNumberFormat="1" applyFont="1" applyAlignment="1" applyProtection="1">
      <alignment horizontal="center" vertical="center"/>
      <protection locked="0"/>
    </xf>
    <xf numFmtId="0" fontId="42" fillId="0" borderId="12" xfId="0" applyFont="1" applyBorder="1" applyAlignment="1" applyProtection="1">
      <alignment horizontal="center" vertical="center"/>
      <protection locked="0"/>
    </xf>
    <xf numFmtId="0" fontId="45" fillId="0" borderId="0" xfId="0" applyFont="1" applyProtection="1">
      <alignment vertical="center"/>
      <protection locked="0"/>
    </xf>
    <xf numFmtId="177" fontId="30" fillId="0" borderId="0" xfId="0" applyNumberFormat="1" applyFont="1" applyProtection="1">
      <alignment vertical="center"/>
      <protection locked="0"/>
    </xf>
    <xf numFmtId="0" fontId="40" fillId="0" borderId="0" xfId="0" applyFont="1" applyAlignment="1" applyProtection="1">
      <alignment horizontal="left" vertical="top"/>
      <protection locked="0"/>
    </xf>
    <xf numFmtId="0" fontId="30" fillId="0" borderId="11" xfId="0" applyFont="1" applyBorder="1" applyAlignment="1">
      <alignment horizontal="center" vertical="center"/>
    </xf>
    <xf numFmtId="0" fontId="36" fillId="0" borderId="0" xfId="0" applyFont="1" applyAlignment="1" applyProtection="1">
      <alignment horizontal="left" vertical="top" wrapText="1"/>
      <protection locked="0"/>
    </xf>
    <xf numFmtId="0" fontId="36" fillId="0" borderId="0" xfId="0" applyFont="1" applyAlignment="1" applyProtection="1">
      <alignment horizontal="left" vertical="top"/>
      <protection locked="0"/>
    </xf>
    <xf numFmtId="0" fontId="28" fillId="0" borderId="0" xfId="0" applyFont="1" applyAlignment="1" applyProtection="1">
      <alignment horizontal="left" vertical="top" wrapText="1"/>
      <protection locked="0"/>
    </xf>
    <xf numFmtId="0" fontId="30" fillId="0" borderId="0" xfId="0" applyFont="1">
      <alignment vertical="center"/>
    </xf>
    <xf numFmtId="0" fontId="31" fillId="0" borderId="12" xfId="0" applyFont="1" applyBorder="1" applyAlignment="1" applyProtection="1">
      <alignment horizontal="center" vertical="center"/>
      <protection locked="0"/>
    </xf>
    <xf numFmtId="0" fontId="31" fillId="0" borderId="0" xfId="0" applyFont="1" applyProtection="1">
      <alignment vertical="center"/>
      <protection locked="0"/>
    </xf>
    <xf numFmtId="0" fontId="38" fillId="0" borderId="0" xfId="0" applyFont="1" applyAlignment="1" applyProtection="1">
      <alignment horizontal="left" vertical="top" wrapText="1"/>
      <protection locked="0"/>
    </xf>
    <xf numFmtId="0" fontId="30" fillId="0" borderId="0" xfId="0" applyFont="1" applyAlignment="1" applyProtection="1">
      <alignment horizontal="center" vertical="center" shrinkToFit="1"/>
      <protection locked="0"/>
    </xf>
    <xf numFmtId="0" fontId="46" fillId="0" borderId="0" xfId="0" applyFont="1" applyProtection="1">
      <alignment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31" fillId="0" borderId="12" xfId="0" applyFont="1" applyBorder="1" applyProtection="1">
      <alignment vertical="center"/>
      <protection locked="0"/>
    </xf>
    <xf numFmtId="177" fontId="29" fillId="0" borderId="19" xfId="0" applyNumberFormat="1" applyFont="1" applyBorder="1" applyAlignment="1" applyProtection="1">
      <alignment horizontal="left" vertical="center"/>
      <protection locked="0"/>
    </xf>
    <xf numFmtId="0" fontId="31" fillId="0" borderId="20" xfId="0" applyFont="1" applyBorder="1" applyProtection="1">
      <alignment vertical="center"/>
      <protection locked="0"/>
    </xf>
    <xf numFmtId="0" fontId="16" fillId="0" borderId="20" xfId="0" applyFont="1" applyBorder="1" applyAlignment="1" applyProtection="1">
      <alignment horizontal="center" vertical="center" shrinkToFit="1"/>
      <protection locked="0"/>
    </xf>
    <xf numFmtId="0" fontId="17" fillId="0" borderId="20" xfId="0" applyFont="1" applyBorder="1" applyAlignment="1" applyProtection="1">
      <alignment horizontal="center" vertical="center" shrinkToFit="1"/>
      <protection locked="0"/>
    </xf>
    <xf numFmtId="0" fontId="48" fillId="0" borderId="20" xfId="0" applyFont="1" applyBorder="1">
      <alignment vertical="center"/>
    </xf>
    <xf numFmtId="0" fontId="31" fillId="0" borderId="0" xfId="0" applyFont="1" applyAlignment="1" applyProtection="1">
      <alignment horizontal="left" vertical="top"/>
      <protection locked="0"/>
    </xf>
    <xf numFmtId="0" fontId="30" fillId="0" borderId="11" xfId="0" applyFont="1" applyBorder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37" fillId="0" borderId="0" xfId="0" applyFont="1">
      <alignment vertical="center"/>
    </xf>
    <xf numFmtId="177" fontId="63" fillId="0" borderId="5" xfId="0" applyNumberFormat="1" applyFont="1" applyBorder="1" applyAlignment="1" applyProtection="1">
      <alignment horizontal="left" vertical="center"/>
      <protection locked="0"/>
    </xf>
    <xf numFmtId="177" fontId="63" fillId="0" borderId="11" xfId="0" applyNumberFormat="1" applyFont="1" applyBorder="1" applyAlignment="1" applyProtection="1">
      <alignment horizontal="left" vertical="center"/>
      <protection locked="0"/>
    </xf>
    <xf numFmtId="0" fontId="36" fillId="0" borderId="0" xfId="0" applyFont="1" applyProtection="1">
      <alignment vertical="center"/>
      <protection locked="0"/>
    </xf>
    <xf numFmtId="0" fontId="37" fillId="3" borderId="0" xfId="0" applyFont="1" applyFill="1">
      <alignment vertical="center"/>
    </xf>
    <xf numFmtId="0" fontId="69" fillId="3" borderId="0" xfId="0" applyFont="1" applyFill="1" applyAlignment="1" applyProtection="1">
      <alignment horizontal="center" vertical="center" shrinkToFit="1"/>
      <protection locked="0"/>
    </xf>
    <xf numFmtId="0" fontId="70" fillId="3" borderId="0" xfId="0" applyFont="1" applyFill="1" applyAlignment="1" applyProtection="1">
      <alignment horizontal="center" vertical="center" wrapText="1"/>
      <protection locked="0"/>
    </xf>
    <xf numFmtId="0" fontId="36" fillId="3" borderId="0" xfId="0" applyFont="1" applyFill="1" applyAlignment="1" applyProtection="1">
      <alignment horizontal="left" vertical="center"/>
      <protection locked="0"/>
    </xf>
    <xf numFmtId="20" fontId="36" fillId="3" borderId="0" xfId="0" applyNumberFormat="1" applyFont="1" applyFill="1" applyAlignment="1" applyProtection="1">
      <alignment horizontal="center" vertical="center"/>
      <protection locked="0"/>
    </xf>
    <xf numFmtId="0" fontId="45" fillId="3" borderId="12" xfId="0" applyFont="1" applyFill="1" applyBorder="1" applyAlignment="1" applyProtection="1">
      <alignment horizontal="center" vertical="center"/>
      <protection locked="0"/>
    </xf>
    <xf numFmtId="0" fontId="36" fillId="3" borderId="0" xfId="0" applyFont="1" applyFill="1" applyAlignment="1" applyProtection="1">
      <alignment horizontal="right" vertical="center"/>
      <protection locked="0"/>
    </xf>
    <xf numFmtId="0" fontId="45" fillId="3" borderId="0" xfId="0" applyFont="1" applyFill="1" applyProtection="1">
      <alignment vertical="center"/>
      <protection locked="0"/>
    </xf>
    <xf numFmtId="0" fontId="35" fillId="0" borderId="33" xfId="0" applyFont="1" applyBorder="1">
      <alignment vertical="center"/>
    </xf>
    <xf numFmtId="0" fontId="35" fillId="0" borderId="33" xfId="0" applyFont="1" applyBorder="1" applyAlignment="1">
      <alignment vertical="center" shrinkToFit="1"/>
    </xf>
    <xf numFmtId="178" fontId="35" fillId="0" borderId="33" xfId="0" applyNumberFormat="1" applyFont="1" applyBorder="1" applyAlignment="1">
      <alignment horizontal="center" vertical="center"/>
    </xf>
    <xf numFmtId="0" fontId="52" fillId="0" borderId="11" xfId="0" applyFont="1" applyBorder="1" applyAlignment="1" applyProtection="1">
      <alignment horizontal="left" vertical="top" wrapText="1"/>
      <protection locked="0"/>
    </xf>
    <xf numFmtId="0" fontId="52" fillId="0" borderId="0" xfId="0" applyFont="1" applyAlignment="1" applyProtection="1">
      <alignment horizontal="left" vertical="top" wrapText="1"/>
      <protection locked="0"/>
    </xf>
    <xf numFmtId="0" fontId="52" fillId="0" borderId="12" xfId="0" applyFont="1" applyBorder="1" applyAlignment="1" applyProtection="1">
      <alignment horizontal="left" vertical="top" wrapText="1"/>
      <protection locked="0"/>
    </xf>
    <xf numFmtId="0" fontId="52" fillId="0" borderId="19" xfId="0" applyFont="1" applyBorder="1" applyAlignment="1" applyProtection="1">
      <alignment horizontal="left" vertical="top" wrapText="1"/>
      <protection locked="0"/>
    </xf>
    <xf numFmtId="0" fontId="52" fillId="0" borderId="20" xfId="0" applyFont="1" applyBorder="1" applyAlignment="1" applyProtection="1">
      <alignment horizontal="left" vertical="top" wrapText="1"/>
      <protection locked="0"/>
    </xf>
    <xf numFmtId="0" fontId="52" fillId="0" borderId="21" xfId="0" applyFont="1" applyBorder="1" applyAlignment="1" applyProtection="1">
      <alignment horizontal="left" vertical="top" wrapText="1"/>
      <protection locked="0"/>
    </xf>
    <xf numFmtId="177" fontId="13" fillId="0" borderId="27" xfId="0" applyNumberFormat="1" applyFont="1" applyBorder="1" applyAlignment="1" applyProtection="1">
      <alignment horizontal="center" vertical="center"/>
      <protection locked="0"/>
    </xf>
    <xf numFmtId="177" fontId="13" fillId="0" borderId="29" xfId="0" applyNumberFormat="1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 shrinkToFit="1"/>
      <protection locked="0"/>
    </xf>
    <xf numFmtId="0" fontId="8" fillId="0" borderId="21" xfId="0" applyFont="1" applyBorder="1" applyAlignment="1" applyProtection="1">
      <alignment horizontal="center" vertical="center" shrinkToFit="1"/>
      <protection locked="0"/>
    </xf>
    <xf numFmtId="0" fontId="16" fillId="0" borderId="11" xfId="0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center" vertical="center" shrinkToFit="1"/>
      <protection locked="0"/>
    </xf>
    <xf numFmtId="0" fontId="8" fillId="0" borderId="12" xfId="0" applyFont="1" applyBorder="1" applyAlignment="1" applyProtection="1">
      <alignment horizontal="center" vertical="center" shrinkToFit="1"/>
      <protection locked="0"/>
    </xf>
    <xf numFmtId="0" fontId="8" fillId="0" borderId="19" xfId="0" applyFont="1" applyBorder="1" applyAlignment="1" applyProtection="1">
      <alignment horizontal="center" vertical="center" shrinkToFit="1"/>
      <protection locked="0"/>
    </xf>
    <xf numFmtId="0" fontId="8" fillId="0" borderId="20" xfId="0" applyFont="1" applyBorder="1" applyAlignment="1" applyProtection="1">
      <alignment horizontal="center" vertical="center" shrinkToFit="1"/>
      <protection locked="0"/>
    </xf>
    <xf numFmtId="0" fontId="22" fillId="0" borderId="44" xfId="0" applyFont="1" applyBorder="1" applyAlignment="1" applyProtection="1">
      <alignment horizontal="left" vertical="center"/>
      <protection locked="0"/>
    </xf>
    <xf numFmtId="0" fontId="22" fillId="0" borderId="45" xfId="0" applyFont="1" applyBorder="1" applyAlignment="1" applyProtection="1">
      <alignment horizontal="left" vertical="center"/>
      <protection locked="0"/>
    </xf>
    <xf numFmtId="0" fontId="22" fillId="0" borderId="46" xfId="0" applyFont="1" applyBorder="1" applyAlignment="1" applyProtection="1">
      <alignment horizontal="left" vertical="center"/>
      <protection locked="0"/>
    </xf>
    <xf numFmtId="0" fontId="22" fillId="0" borderId="47" xfId="0" applyFont="1" applyBorder="1" applyAlignment="1" applyProtection="1">
      <alignment horizontal="left" vertical="center"/>
      <protection locked="0"/>
    </xf>
    <xf numFmtId="0" fontId="22" fillId="0" borderId="48" xfId="0" applyFont="1" applyBorder="1" applyAlignment="1" applyProtection="1">
      <alignment horizontal="left" vertical="center"/>
      <protection locked="0"/>
    </xf>
    <xf numFmtId="0" fontId="22" fillId="0" borderId="49" xfId="0" applyFont="1" applyBorder="1" applyAlignment="1" applyProtection="1">
      <alignment horizontal="left" vertical="center"/>
      <protection locked="0"/>
    </xf>
    <xf numFmtId="20" fontId="2" fillId="0" borderId="44" xfId="0" quotePrefix="1" applyNumberFormat="1" applyFont="1" applyBorder="1" applyAlignment="1" applyProtection="1">
      <alignment horizontal="center" vertical="center"/>
      <protection locked="0"/>
    </xf>
    <xf numFmtId="0" fontId="2" fillId="0" borderId="46" xfId="0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 applyProtection="1">
      <alignment horizontal="center" vertical="center"/>
      <protection locked="0"/>
    </xf>
    <xf numFmtId="0" fontId="2" fillId="0" borderId="49" xfId="0" applyFont="1" applyBorder="1" applyAlignment="1" applyProtection="1">
      <alignment horizontal="center" vertical="center"/>
      <protection locked="0"/>
    </xf>
    <xf numFmtId="0" fontId="8" fillId="0" borderId="54" xfId="0" applyFont="1" applyBorder="1" applyAlignment="1" applyProtection="1">
      <alignment horizontal="center" vertical="center"/>
      <protection locked="0"/>
    </xf>
    <xf numFmtId="0" fontId="8" fillId="0" borderId="55" xfId="0" applyFont="1" applyBorder="1" applyAlignment="1" applyProtection="1">
      <alignment horizontal="center" vertical="center"/>
      <protection locked="0"/>
    </xf>
    <xf numFmtId="0" fontId="24" fillId="0" borderId="56" xfId="0" applyFont="1" applyBorder="1" applyAlignment="1" applyProtection="1">
      <alignment horizontal="center" vertical="center"/>
      <protection locked="0"/>
    </xf>
    <xf numFmtId="0" fontId="24" fillId="0" borderId="54" xfId="0" applyFont="1" applyBorder="1" applyAlignment="1" applyProtection="1">
      <alignment horizontal="center" vertical="center"/>
      <protection locked="0"/>
    </xf>
    <xf numFmtId="176" fontId="35" fillId="0" borderId="34" xfId="0" applyNumberFormat="1" applyFont="1" applyBorder="1" applyAlignment="1">
      <alignment horizontal="right" vertical="center"/>
    </xf>
    <xf numFmtId="176" fontId="35" fillId="0" borderId="35" xfId="0" applyNumberFormat="1" applyFont="1" applyBorder="1" applyAlignment="1">
      <alignment horizontal="right" vertical="center"/>
    </xf>
    <xf numFmtId="0" fontId="35" fillId="0" borderId="33" xfId="0" applyFont="1" applyBorder="1" applyAlignment="1">
      <alignment horizontal="center" vertical="center" shrinkToFit="1"/>
    </xf>
    <xf numFmtId="0" fontId="2" fillId="0" borderId="44" xfId="0" applyFont="1" applyBorder="1" applyAlignment="1" applyProtection="1">
      <alignment horizontal="center" vertical="center"/>
      <protection locked="0"/>
    </xf>
    <xf numFmtId="0" fontId="27" fillId="0" borderId="25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176" fontId="13" fillId="0" borderId="25" xfId="0" applyNumberFormat="1" applyFont="1" applyBorder="1" applyAlignment="1" applyProtection="1">
      <alignment horizontal="center" vertical="center" shrinkToFit="1"/>
      <protection locked="0"/>
    </xf>
    <xf numFmtId="176" fontId="13" fillId="0" borderId="27" xfId="0" applyNumberFormat="1" applyFont="1" applyBorder="1" applyAlignment="1" applyProtection="1">
      <alignment horizontal="center" vertical="center" shrinkToFit="1"/>
      <protection locked="0"/>
    </xf>
    <xf numFmtId="0" fontId="31" fillId="0" borderId="26" xfId="0" applyFont="1" applyBorder="1" applyAlignment="1" applyProtection="1">
      <alignment horizontal="center" vertical="top" wrapText="1"/>
      <protection locked="0"/>
    </xf>
    <xf numFmtId="0" fontId="31" fillId="0" borderId="28" xfId="0" applyFont="1" applyBorder="1" applyAlignment="1" applyProtection="1">
      <alignment horizontal="center" vertical="top" wrapText="1"/>
      <protection locked="0"/>
    </xf>
    <xf numFmtId="0" fontId="31" fillId="0" borderId="30" xfId="0" applyFont="1" applyBorder="1" applyAlignment="1" applyProtection="1">
      <alignment horizontal="center" vertical="top" wrapText="1"/>
      <protection locked="0"/>
    </xf>
    <xf numFmtId="0" fontId="50" fillId="0" borderId="5" xfId="0" applyFont="1" applyBorder="1" applyAlignment="1" applyProtection="1">
      <alignment horizontal="left" vertical="top" wrapText="1"/>
      <protection locked="0"/>
    </xf>
    <xf numFmtId="0" fontId="50" fillId="0" borderId="6" xfId="0" applyFont="1" applyBorder="1" applyAlignment="1" applyProtection="1">
      <alignment horizontal="left" vertical="top" wrapText="1"/>
      <protection locked="0"/>
    </xf>
    <xf numFmtId="0" fontId="50" fillId="0" borderId="7" xfId="0" applyFont="1" applyBorder="1" applyAlignment="1" applyProtection="1">
      <alignment horizontal="left" vertical="top" wrapText="1"/>
      <protection locked="0"/>
    </xf>
    <xf numFmtId="0" fontId="50" fillId="0" borderId="11" xfId="0" applyFont="1" applyBorder="1" applyAlignment="1" applyProtection="1">
      <alignment horizontal="left" vertical="top" wrapText="1"/>
      <protection locked="0"/>
    </xf>
    <xf numFmtId="0" fontId="50" fillId="0" borderId="0" xfId="0" applyFont="1" applyAlignment="1" applyProtection="1">
      <alignment horizontal="left" vertical="top" wrapText="1"/>
      <protection locked="0"/>
    </xf>
    <xf numFmtId="0" fontId="50" fillId="0" borderId="12" xfId="0" applyFont="1" applyBorder="1" applyAlignment="1" applyProtection="1">
      <alignment horizontal="left" vertical="top" wrapText="1"/>
      <protection locked="0"/>
    </xf>
    <xf numFmtId="0" fontId="20" fillId="0" borderId="5" xfId="0" applyFont="1" applyBorder="1" applyAlignment="1" applyProtection="1">
      <alignment horizontal="left" vertical="top" wrapText="1"/>
      <protection locked="0"/>
    </xf>
    <xf numFmtId="0" fontId="20" fillId="0" borderId="6" xfId="0" applyFont="1" applyBorder="1" applyAlignment="1" applyProtection="1">
      <alignment horizontal="left" vertical="top" wrapText="1"/>
      <protection locked="0"/>
    </xf>
    <xf numFmtId="0" fontId="20" fillId="0" borderId="7" xfId="0" applyFont="1" applyBorder="1" applyAlignment="1" applyProtection="1">
      <alignment horizontal="left" vertical="top" wrapText="1"/>
      <protection locked="0"/>
    </xf>
    <xf numFmtId="0" fontId="20" fillId="0" borderId="11" xfId="0" applyFont="1" applyBorder="1" applyAlignment="1" applyProtection="1">
      <alignment horizontal="left" vertical="top" wrapText="1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0" fontId="20" fillId="0" borderId="12" xfId="0" applyFont="1" applyBorder="1" applyAlignment="1" applyProtection="1">
      <alignment horizontal="left" vertical="top" wrapText="1"/>
      <protection locked="0"/>
    </xf>
    <xf numFmtId="0" fontId="20" fillId="0" borderId="19" xfId="0" applyFont="1" applyBorder="1" applyAlignment="1" applyProtection="1">
      <alignment horizontal="left" vertical="top" wrapText="1"/>
      <protection locked="0"/>
    </xf>
    <xf numFmtId="0" fontId="20" fillId="0" borderId="20" xfId="0" applyFont="1" applyBorder="1" applyAlignment="1" applyProtection="1">
      <alignment horizontal="left" vertical="top" wrapText="1"/>
      <protection locked="0"/>
    </xf>
    <xf numFmtId="0" fontId="20" fillId="0" borderId="21" xfId="0" applyFont="1" applyBorder="1" applyAlignment="1" applyProtection="1">
      <alignment horizontal="left" vertical="top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39" xfId="0" applyFont="1" applyBorder="1" applyAlignment="1" applyProtection="1">
      <alignment horizontal="center" vertical="center" wrapText="1"/>
      <protection locked="0"/>
    </xf>
    <xf numFmtId="0" fontId="8" fillId="0" borderId="31" xfId="0" applyFont="1" applyBorder="1" applyAlignment="1" applyProtection="1">
      <alignment horizontal="center" vertical="center" wrapText="1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49" fillId="0" borderId="25" xfId="0" applyFont="1" applyBorder="1" applyAlignment="1" applyProtection="1">
      <alignment horizontal="center" vertical="center" wrapText="1"/>
      <protection locked="0"/>
    </xf>
    <xf numFmtId="0" fontId="49" fillId="0" borderId="26" xfId="0" applyFont="1" applyBorder="1" applyAlignment="1" applyProtection="1">
      <alignment horizontal="center" vertical="center" wrapText="1"/>
      <protection locked="0"/>
    </xf>
    <xf numFmtId="0" fontId="49" fillId="0" borderId="28" xfId="0" applyFont="1" applyBorder="1" applyAlignment="1" applyProtection="1">
      <alignment horizontal="center" vertical="center" wrapText="1"/>
      <protection locked="0"/>
    </xf>
    <xf numFmtId="0" fontId="49" fillId="0" borderId="30" xfId="0" applyFont="1" applyBorder="1" applyAlignment="1" applyProtection="1">
      <alignment horizontal="center" vertical="center" wrapText="1"/>
      <protection locked="0"/>
    </xf>
    <xf numFmtId="0" fontId="22" fillId="0" borderId="39" xfId="0" applyFont="1" applyBorder="1" applyAlignment="1" applyProtection="1">
      <alignment horizontal="left" vertical="center"/>
      <protection locked="0"/>
    </xf>
    <xf numFmtId="0" fontId="22" fillId="0" borderId="31" xfId="0" applyFont="1" applyBorder="1" applyAlignment="1" applyProtection="1">
      <alignment horizontal="left" vertical="center"/>
      <protection locked="0"/>
    </xf>
    <xf numFmtId="0" fontId="22" fillId="0" borderId="40" xfId="0" applyFont="1" applyBorder="1" applyAlignment="1" applyProtection="1">
      <alignment horizontal="left" vertical="center"/>
      <protection locked="0"/>
    </xf>
    <xf numFmtId="20" fontId="18" fillId="0" borderId="39" xfId="0" applyNumberFormat="1" applyFont="1" applyBorder="1" applyAlignment="1" applyProtection="1">
      <alignment horizontal="center" vertical="center" shrinkToFit="1"/>
      <protection locked="0"/>
    </xf>
    <xf numFmtId="0" fontId="19" fillId="0" borderId="40" xfId="0" applyFont="1" applyBorder="1" applyAlignment="1" applyProtection="1">
      <alignment horizontal="center" vertical="center" shrinkToFit="1"/>
      <protection locked="0"/>
    </xf>
    <xf numFmtId="0" fontId="19" fillId="0" borderId="44" xfId="0" applyFont="1" applyBorder="1" applyAlignment="1" applyProtection="1">
      <alignment horizontal="center" vertical="center" shrinkToFit="1"/>
      <protection locked="0"/>
    </xf>
    <xf numFmtId="0" fontId="19" fillId="0" borderId="46" xfId="0" applyFont="1" applyBorder="1" applyAlignment="1" applyProtection="1">
      <alignment horizontal="center" vertical="center" shrinkToFit="1"/>
      <protection locked="0"/>
    </xf>
    <xf numFmtId="0" fontId="16" fillId="0" borderId="27" xfId="0" applyFont="1" applyBorder="1" applyAlignment="1" applyProtection="1">
      <alignment horizontal="center" vertical="center" shrinkToFit="1"/>
      <protection locked="0"/>
    </xf>
    <xf numFmtId="0" fontId="8" fillId="0" borderId="29" xfId="0" applyFont="1" applyBorder="1" applyAlignment="1" applyProtection="1">
      <alignment horizontal="center" vertical="center" shrinkToFit="1"/>
      <protection locked="0"/>
    </xf>
    <xf numFmtId="0" fontId="14" fillId="0" borderId="44" xfId="0" applyFont="1" applyBorder="1" applyAlignment="1" applyProtection="1">
      <alignment horizontal="left" vertical="center"/>
      <protection locked="0"/>
    </xf>
    <xf numFmtId="0" fontId="14" fillId="0" borderId="45" xfId="0" applyFont="1" applyBorder="1" applyAlignment="1" applyProtection="1">
      <alignment horizontal="left" vertical="center"/>
      <protection locked="0"/>
    </xf>
    <xf numFmtId="0" fontId="14" fillId="0" borderId="46" xfId="0" applyFont="1" applyBorder="1" applyAlignment="1" applyProtection="1">
      <alignment horizontal="left" vertical="center"/>
      <protection locked="0"/>
    </xf>
    <xf numFmtId="0" fontId="14" fillId="0" borderId="47" xfId="0" applyFont="1" applyBorder="1" applyAlignment="1" applyProtection="1">
      <alignment horizontal="left" vertical="center"/>
      <protection locked="0"/>
    </xf>
    <xf numFmtId="0" fontId="14" fillId="0" borderId="48" xfId="0" applyFont="1" applyBorder="1" applyAlignment="1" applyProtection="1">
      <alignment horizontal="left" vertical="center"/>
      <protection locked="0"/>
    </xf>
    <xf numFmtId="0" fontId="14" fillId="0" borderId="49" xfId="0" applyFont="1" applyBorder="1" applyAlignment="1" applyProtection="1">
      <alignment horizontal="left" vertical="center"/>
      <protection locked="0"/>
    </xf>
    <xf numFmtId="20" fontId="2" fillId="0" borderId="44" xfId="0" applyNumberFormat="1" applyFont="1" applyBorder="1" applyAlignment="1" applyProtection="1">
      <alignment horizontal="center" vertical="center"/>
      <protection locked="0"/>
    </xf>
    <xf numFmtId="0" fontId="50" fillId="0" borderId="25" xfId="0" applyFont="1" applyBorder="1" applyAlignment="1" applyProtection="1">
      <alignment horizontal="left" vertical="top" wrapText="1"/>
      <protection locked="0"/>
    </xf>
    <xf numFmtId="0" fontId="50" fillId="0" borderId="27" xfId="0" applyFont="1" applyBorder="1" applyAlignment="1" applyProtection="1">
      <alignment horizontal="left" vertical="top" wrapText="1"/>
      <protection locked="0"/>
    </xf>
    <xf numFmtId="0" fontId="50" fillId="0" borderId="29" xfId="0" applyFont="1" applyBorder="1" applyAlignment="1" applyProtection="1">
      <alignment horizontal="left" vertical="top" wrapText="1"/>
      <protection locked="0"/>
    </xf>
    <xf numFmtId="0" fontId="29" fillId="0" borderId="25" xfId="0" applyFont="1" applyBorder="1" applyAlignment="1" applyProtection="1">
      <alignment horizontal="left" vertical="top" wrapText="1"/>
      <protection locked="0"/>
    </xf>
    <xf numFmtId="0" fontId="29" fillId="0" borderId="27" xfId="0" applyFont="1" applyBorder="1" applyAlignment="1" applyProtection="1">
      <alignment horizontal="left" vertical="top" wrapText="1"/>
      <protection locked="0"/>
    </xf>
    <xf numFmtId="0" fontId="29" fillId="0" borderId="29" xfId="0" applyFont="1" applyBorder="1" applyAlignment="1" applyProtection="1">
      <alignment horizontal="left" vertical="top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29" fillId="0" borderId="26" xfId="0" applyFont="1" applyBorder="1" applyAlignment="1" applyProtection="1">
      <alignment horizontal="left" vertical="top" wrapText="1"/>
      <protection locked="0"/>
    </xf>
    <xf numFmtId="0" fontId="29" fillId="0" borderId="28" xfId="0" applyFont="1" applyBorder="1" applyAlignment="1" applyProtection="1">
      <alignment horizontal="left" vertical="top" wrapText="1"/>
      <protection locked="0"/>
    </xf>
    <xf numFmtId="0" fontId="29" fillId="0" borderId="30" xfId="0" applyFont="1" applyBorder="1" applyAlignment="1" applyProtection="1">
      <alignment horizontal="left" vertical="top" wrapText="1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14" fillId="0" borderId="31" xfId="0" applyFont="1" applyBorder="1" applyAlignment="1" applyProtection="1">
      <alignment horizontal="left" vertical="center"/>
      <protection locked="0"/>
    </xf>
    <xf numFmtId="0" fontId="14" fillId="0" borderId="40" xfId="0" applyFont="1" applyBorder="1" applyAlignment="1" applyProtection="1">
      <alignment horizontal="left" vertical="center"/>
      <protection locked="0"/>
    </xf>
    <xf numFmtId="20" fontId="2" fillId="0" borderId="39" xfId="0" applyNumberFormat="1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/>
      <protection locked="0"/>
    </xf>
    <xf numFmtId="0" fontId="8" fillId="0" borderId="56" xfId="0" applyFont="1" applyBorder="1" applyAlignment="1" applyProtection="1">
      <alignment horizontal="center" vertical="center"/>
      <protection locked="0"/>
    </xf>
    <xf numFmtId="20" fontId="50" fillId="0" borderId="25" xfId="0" applyNumberFormat="1" applyFont="1" applyBorder="1" applyAlignment="1" applyProtection="1">
      <alignment horizontal="left" vertical="top" wrapText="1"/>
      <protection locked="0"/>
    </xf>
    <xf numFmtId="0" fontId="29" fillId="0" borderId="25" xfId="1" applyFont="1" applyBorder="1" applyAlignment="1" applyProtection="1">
      <alignment vertical="top" wrapText="1"/>
      <protection locked="0"/>
    </xf>
    <xf numFmtId="0" fontId="29" fillId="0" borderId="27" xfId="1" applyFont="1" applyBorder="1" applyAlignment="1" applyProtection="1">
      <alignment vertical="top" wrapText="1"/>
      <protection locked="0"/>
    </xf>
    <xf numFmtId="0" fontId="29" fillId="0" borderId="29" xfId="1" applyFont="1" applyBorder="1" applyAlignment="1" applyProtection="1">
      <alignment vertical="top" wrapText="1"/>
      <protection locked="0"/>
    </xf>
    <xf numFmtId="0" fontId="8" fillId="0" borderId="54" xfId="0" applyFont="1" applyBorder="1" applyAlignment="1" applyProtection="1">
      <alignment horizontal="center" vertical="center" wrapText="1"/>
      <protection locked="0"/>
    </xf>
    <xf numFmtId="0" fontId="35" fillId="0" borderId="36" xfId="0" applyFont="1" applyBorder="1" applyAlignment="1">
      <alignment vertical="center" shrinkToFit="1"/>
    </xf>
    <xf numFmtId="0" fontId="35" fillId="0" borderId="37" xfId="0" applyFont="1" applyBorder="1" applyAlignment="1">
      <alignment vertical="center" shrinkToFit="1"/>
    </xf>
    <xf numFmtId="0" fontId="50" fillId="0" borderId="19" xfId="0" applyFont="1" applyBorder="1" applyAlignment="1" applyProtection="1">
      <alignment horizontal="left" vertical="top" wrapText="1"/>
      <protection locked="0"/>
    </xf>
    <xf numFmtId="0" fontId="50" fillId="0" borderId="20" xfId="0" applyFont="1" applyBorder="1" applyAlignment="1" applyProtection="1">
      <alignment horizontal="left" vertical="top" wrapText="1"/>
      <protection locked="0"/>
    </xf>
    <xf numFmtId="0" fontId="50" fillId="0" borderId="21" xfId="0" applyFont="1" applyBorder="1" applyAlignment="1" applyProtection="1">
      <alignment horizontal="left" vertical="top" wrapText="1"/>
      <protection locked="0"/>
    </xf>
    <xf numFmtId="0" fontId="29" fillId="3" borderId="5" xfId="0" applyFont="1" applyFill="1" applyBorder="1" applyAlignment="1" applyProtection="1">
      <alignment horizontal="left" vertical="top" wrapText="1"/>
      <protection locked="0"/>
    </xf>
    <xf numFmtId="0" fontId="29" fillId="3" borderId="6" xfId="0" applyFont="1" applyFill="1" applyBorder="1" applyAlignment="1" applyProtection="1">
      <alignment horizontal="left" vertical="top" wrapText="1"/>
      <protection locked="0"/>
    </xf>
    <xf numFmtId="0" fontId="29" fillId="3" borderId="7" xfId="0" applyFont="1" applyFill="1" applyBorder="1" applyAlignment="1" applyProtection="1">
      <alignment horizontal="left" vertical="top" wrapText="1"/>
      <protection locked="0"/>
    </xf>
    <xf numFmtId="0" fontId="29" fillId="3" borderId="11" xfId="0" applyFont="1" applyFill="1" applyBorder="1" applyAlignment="1" applyProtection="1">
      <alignment horizontal="left" vertical="top" wrapText="1"/>
      <protection locked="0"/>
    </xf>
    <xf numFmtId="0" fontId="29" fillId="3" borderId="0" xfId="0" applyFont="1" applyFill="1" applyAlignment="1" applyProtection="1">
      <alignment horizontal="left" vertical="top" wrapText="1"/>
      <protection locked="0"/>
    </xf>
    <xf numFmtId="0" fontId="29" fillId="3" borderId="12" xfId="0" applyFont="1" applyFill="1" applyBorder="1" applyAlignment="1" applyProtection="1">
      <alignment horizontal="left" vertical="top" wrapText="1"/>
      <protection locked="0"/>
    </xf>
    <xf numFmtId="0" fontId="35" fillId="0" borderId="35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57" fillId="0" borderId="5" xfId="0" applyFont="1" applyBorder="1" applyAlignment="1" applyProtection="1">
      <alignment horizontal="left" vertical="top" wrapText="1"/>
      <protection locked="0"/>
    </xf>
    <xf numFmtId="0" fontId="29" fillId="0" borderId="5" xfId="0" applyFont="1" applyBorder="1" applyAlignment="1" applyProtection="1">
      <alignment horizontal="left" vertical="top" wrapText="1"/>
      <protection locked="0"/>
    </xf>
    <xf numFmtId="0" fontId="29" fillId="0" borderId="6" xfId="0" applyFont="1" applyBorder="1" applyAlignment="1" applyProtection="1">
      <alignment horizontal="left" vertical="top" wrapText="1"/>
      <protection locked="0"/>
    </xf>
    <xf numFmtId="0" fontId="29" fillId="0" borderId="7" xfId="0" applyFont="1" applyBorder="1" applyAlignment="1" applyProtection="1">
      <alignment horizontal="left" vertical="top" wrapText="1"/>
      <protection locked="0"/>
    </xf>
    <xf numFmtId="0" fontId="29" fillId="0" borderId="11" xfId="0" applyFont="1" applyBorder="1" applyAlignment="1" applyProtection="1">
      <alignment horizontal="left" vertical="top" wrapText="1"/>
      <protection locked="0"/>
    </xf>
    <xf numFmtId="0" fontId="29" fillId="0" borderId="0" xfId="0" applyFont="1" applyAlignment="1" applyProtection="1">
      <alignment horizontal="left" vertical="top" wrapText="1"/>
      <protection locked="0"/>
    </xf>
    <xf numFmtId="0" fontId="29" fillId="0" borderId="12" xfId="0" applyFont="1" applyBorder="1" applyAlignment="1" applyProtection="1">
      <alignment horizontal="left" vertical="top" wrapText="1"/>
      <protection locked="0"/>
    </xf>
    <xf numFmtId="0" fontId="29" fillId="0" borderId="19" xfId="0" applyFont="1" applyBorder="1" applyAlignment="1" applyProtection="1">
      <alignment horizontal="left" vertical="top" wrapText="1"/>
      <protection locked="0"/>
    </xf>
    <xf numFmtId="0" fontId="29" fillId="0" borderId="20" xfId="0" applyFont="1" applyBorder="1" applyAlignment="1" applyProtection="1">
      <alignment horizontal="left" vertical="top" wrapText="1"/>
      <protection locked="0"/>
    </xf>
    <xf numFmtId="0" fontId="29" fillId="0" borderId="21" xfId="0" applyFont="1" applyBorder="1" applyAlignment="1" applyProtection="1">
      <alignment horizontal="left" vertical="top" wrapText="1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0" fontId="14" fillId="0" borderId="43" xfId="0" applyFont="1" applyBorder="1" applyAlignment="1" applyProtection="1">
      <alignment horizontal="left" vertical="center"/>
      <protection locked="0"/>
    </xf>
    <xf numFmtId="20" fontId="2" fillId="0" borderId="41" xfId="0" quotePrefix="1" applyNumberFormat="1" applyFont="1" applyBorder="1" applyAlignment="1" applyProtection="1">
      <alignment horizontal="center" vertical="center"/>
      <protection locked="0"/>
    </xf>
    <xf numFmtId="0" fontId="2" fillId="0" borderId="43" xfId="0" applyFont="1" applyBorder="1" applyAlignment="1" applyProtection="1">
      <alignment horizontal="center" vertical="center"/>
      <protection locked="0"/>
    </xf>
    <xf numFmtId="0" fontId="8" fillId="0" borderId="50" xfId="0" applyFont="1" applyBorder="1" applyAlignment="1" applyProtection="1">
      <alignment horizontal="center" vertical="center"/>
      <protection locked="0"/>
    </xf>
    <xf numFmtId="178" fontId="33" fillId="0" borderId="0" xfId="0" applyNumberFormat="1" applyFont="1" applyAlignment="1">
      <alignment horizontal="center" vertical="center"/>
    </xf>
    <xf numFmtId="0" fontId="33" fillId="0" borderId="0" xfId="0" applyFont="1">
      <alignment vertical="center"/>
    </xf>
    <xf numFmtId="0" fontId="2" fillId="0" borderId="2" xfId="0" applyFon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9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51" xfId="0" applyFont="1" applyBorder="1" applyAlignment="1" applyProtection="1">
      <alignment horizontal="center" vertical="center"/>
      <protection locked="0"/>
    </xf>
    <xf numFmtId="0" fontId="12" fillId="0" borderId="52" xfId="0" applyFont="1" applyBorder="1" applyAlignment="1" applyProtection="1">
      <alignment horizontal="center" vertical="center"/>
      <protection locked="0"/>
    </xf>
    <xf numFmtId="0" fontId="12" fillId="0" borderId="53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3" fillId="0" borderId="45" xfId="0" applyFont="1" applyBorder="1" applyAlignment="1" applyProtection="1">
      <alignment horizontal="center" vertical="center"/>
      <protection locked="0"/>
    </xf>
    <xf numFmtId="0" fontId="13" fillId="0" borderId="46" xfId="0" applyFont="1" applyBorder="1" applyAlignment="1" applyProtection="1">
      <alignment horizontal="center" vertical="center"/>
      <protection locked="0"/>
    </xf>
    <xf numFmtId="0" fontId="13" fillId="0" borderId="47" xfId="0" applyFont="1" applyBorder="1" applyAlignment="1" applyProtection="1">
      <alignment horizontal="center" vertical="center"/>
      <protection locked="0"/>
    </xf>
    <xf numFmtId="0" fontId="13" fillId="0" borderId="48" xfId="0" applyFont="1" applyBorder="1" applyAlignment="1" applyProtection="1">
      <alignment horizontal="center" vertical="center"/>
      <protection locked="0"/>
    </xf>
    <xf numFmtId="0" fontId="13" fillId="0" borderId="4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9" xfId="0" applyFont="1" applyBorder="1" applyAlignment="1" applyProtection="1">
      <alignment horizontal="left" vertical="center"/>
      <protection locked="0"/>
    </xf>
    <xf numFmtId="14" fontId="12" fillId="0" borderId="6" xfId="0" applyNumberFormat="1" applyFont="1" applyBorder="1" applyAlignment="1" applyProtection="1">
      <alignment horizontal="left" vertical="center" shrinkToFit="1"/>
      <protection locked="0"/>
    </xf>
    <xf numFmtId="0" fontId="12" fillId="0" borderId="6" xfId="0" applyFont="1" applyBorder="1" applyAlignment="1" applyProtection="1">
      <alignment horizontal="left" vertical="center" shrinkToFit="1"/>
      <protection locked="0"/>
    </xf>
    <xf numFmtId="0" fontId="12" fillId="0" borderId="7" xfId="0" applyFont="1" applyBorder="1" applyAlignment="1" applyProtection="1">
      <alignment horizontal="left" vertical="center" shrinkToFit="1"/>
      <protection locked="0"/>
    </xf>
    <xf numFmtId="0" fontId="12" fillId="0" borderId="0" xfId="0" applyFont="1" applyAlignment="1" applyProtection="1">
      <alignment horizontal="left" vertical="center" shrinkToFit="1"/>
      <protection locked="0"/>
    </xf>
    <xf numFmtId="0" fontId="12" fillId="0" borderId="12" xfId="0" applyFont="1" applyBorder="1" applyAlignment="1" applyProtection="1">
      <alignment horizontal="left" vertical="center" shrinkToFit="1"/>
      <protection locked="0"/>
    </xf>
    <xf numFmtId="0" fontId="12" fillId="0" borderId="20" xfId="0" applyFont="1" applyBorder="1" applyAlignment="1" applyProtection="1">
      <alignment horizontal="left" vertical="center" shrinkToFit="1"/>
      <protection locked="0"/>
    </xf>
    <xf numFmtId="0" fontId="12" fillId="0" borderId="21" xfId="0" applyFont="1" applyBorder="1" applyAlignment="1" applyProtection="1">
      <alignment horizontal="left" vertical="center" shrinkToFit="1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18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8" fillId="0" borderId="44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46" xfId="0" applyFont="1" applyBorder="1" applyAlignment="1" applyProtection="1">
      <alignment horizontal="center" vertical="center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1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12" xfId="1" applyFont="1" applyBorder="1" applyAlignment="1" applyProtection="1">
      <alignment horizontal="center" vertical="center" wrapText="1"/>
      <protection locked="0"/>
    </xf>
    <xf numFmtId="0" fontId="10" fillId="0" borderId="19" xfId="1" applyFont="1" applyBorder="1" applyAlignment="1" applyProtection="1">
      <alignment horizontal="center" vertical="center" wrapText="1"/>
      <protection locked="0"/>
    </xf>
    <xf numFmtId="0" fontId="10" fillId="0" borderId="20" xfId="1" applyFont="1" applyBorder="1" applyAlignment="1" applyProtection="1">
      <alignment horizontal="center" vertical="center" wrapText="1"/>
      <protection locked="0"/>
    </xf>
    <xf numFmtId="0" fontId="10" fillId="0" borderId="21" xfId="1" applyFont="1" applyBorder="1" applyAlignment="1" applyProtection="1">
      <alignment horizontal="center" vertical="center" wrapText="1"/>
      <protection locked="0"/>
    </xf>
    <xf numFmtId="0" fontId="66" fillId="0" borderId="39" xfId="0" applyFont="1" applyBorder="1" applyAlignment="1" applyProtection="1">
      <alignment horizontal="left" vertical="center"/>
      <protection locked="0"/>
    </xf>
    <xf numFmtId="0" fontId="66" fillId="0" borderId="31" xfId="0" applyFont="1" applyBorder="1" applyAlignment="1" applyProtection="1">
      <alignment horizontal="left" vertical="center"/>
      <protection locked="0"/>
    </xf>
    <xf numFmtId="0" fontId="66" fillId="0" borderId="40" xfId="0" applyFont="1" applyBorder="1" applyAlignment="1" applyProtection="1">
      <alignment horizontal="left" vertical="center"/>
      <protection locked="0"/>
    </xf>
    <xf numFmtId="0" fontId="66" fillId="0" borderId="44" xfId="0" applyFont="1" applyBorder="1" applyAlignment="1" applyProtection="1">
      <alignment horizontal="left" vertical="center"/>
      <protection locked="0"/>
    </xf>
    <xf numFmtId="0" fontId="66" fillId="0" borderId="45" xfId="0" applyFont="1" applyBorder="1" applyAlignment="1" applyProtection="1">
      <alignment horizontal="left" vertical="center"/>
      <protection locked="0"/>
    </xf>
    <xf numFmtId="0" fontId="66" fillId="0" borderId="46" xfId="0" applyFont="1" applyBorder="1" applyAlignment="1" applyProtection="1">
      <alignment horizontal="left" vertical="center"/>
      <protection locked="0"/>
    </xf>
    <xf numFmtId="20" fontId="67" fillId="0" borderId="39" xfId="0" applyNumberFormat="1" applyFont="1" applyBorder="1" applyAlignment="1" applyProtection="1">
      <alignment horizontal="center" vertical="center"/>
      <protection locked="0"/>
    </xf>
    <xf numFmtId="0" fontId="67" fillId="0" borderId="40" xfId="0" applyFont="1" applyBorder="1" applyAlignment="1" applyProtection="1">
      <alignment horizontal="center" vertical="center"/>
      <protection locked="0"/>
    </xf>
    <xf numFmtId="0" fontId="67" fillId="0" borderId="44" xfId="0" applyFont="1" applyBorder="1" applyAlignment="1" applyProtection="1">
      <alignment horizontal="center" vertical="center"/>
      <protection locked="0"/>
    </xf>
    <xf numFmtId="0" fontId="67" fillId="0" borderId="46" xfId="0" applyFont="1" applyBorder="1" applyAlignment="1" applyProtection="1">
      <alignment horizontal="center" vertical="center"/>
      <protection locked="0"/>
    </xf>
    <xf numFmtId="0" fontId="65" fillId="0" borderId="56" xfId="0" applyFont="1" applyBorder="1" applyAlignment="1" applyProtection="1">
      <alignment horizontal="center" vertical="center"/>
      <protection locked="0"/>
    </xf>
    <xf numFmtId="0" fontId="65" fillId="0" borderId="54" xfId="0" applyFont="1" applyBorder="1" applyAlignment="1" applyProtection="1">
      <alignment horizontal="center" vertical="center"/>
      <protection locked="0"/>
    </xf>
    <xf numFmtId="0" fontId="36" fillId="0" borderId="26" xfId="0" applyFont="1" applyBorder="1" applyAlignment="1" applyProtection="1">
      <alignment horizontal="center" vertical="top" wrapText="1"/>
      <protection locked="0"/>
    </xf>
    <xf numFmtId="20" fontId="61" fillId="0" borderId="25" xfId="0" applyNumberFormat="1" applyFont="1" applyBorder="1" applyAlignment="1" applyProtection="1">
      <alignment horizontal="left" vertical="top" wrapText="1"/>
      <protection locked="0"/>
    </xf>
    <xf numFmtId="0" fontId="63" fillId="0" borderId="25" xfId="1" applyFont="1" applyBorder="1" applyAlignment="1" applyProtection="1">
      <alignment vertical="top" wrapText="1"/>
      <protection locked="0"/>
    </xf>
    <xf numFmtId="177" fontId="60" fillId="0" borderId="27" xfId="0" applyNumberFormat="1" applyFont="1" applyBorder="1" applyAlignment="1" applyProtection="1">
      <alignment horizontal="center" vertical="center"/>
      <protection locked="0"/>
    </xf>
    <xf numFmtId="177" fontId="60" fillId="0" borderId="29" xfId="0" applyNumberFormat="1" applyFont="1" applyBorder="1" applyAlignment="1" applyProtection="1">
      <alignment horizontal="center" vertical="center"/>
      <protection locked="0"/>
    </xf>
    <xf numFmtId="0" fontId="64" fillId="0" borderId="27" xfId="0" applyFont="1" applyBorder="1" applyAlignment="1" applyProtection="1">
      <alignment horizontal="center" vertical="center" shrinkToFit="1"/>
      <protection locked="0"/>
    </xf>
    <xf numFmtId="0" fontId="65" fillId="0" borderId="29" xfId="0" applyFont="1" applyBorder="1" applyAlignment="1" applyProtection="1">
      <alignment horizontal="center" vertical="center" shrinkToFit="1"/>
      <protection locked="0"/>
    </xf>
    <xf numFmtId="0" fontId="64" fillId="0" borderId="11" xfId="0" applyFont="1" applyBorder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0" fontId="65" fillId="0" borderId="12" xfId="0" applyFont="1" applyBorder="1" applyAlignment="1" applyProtection="1">
      <alignment horizontal="center" vertical="center" shrinkToFit="1"/>
      <protection locked="0"/>
    </xf>
    <xf numFmtId="0" fontId="65" fillId="0" borderId="19" xfId="0" applyFont="1" applyBorder="1" applyAlignment="1" applyProtection="1">
      <alignment horizontal="center" vertical="center" shrinkToFit="1"/>
      <protection locked="0"/>
    </xf>
    <xf numFmtId="0" fontId="65" fillId="0" borderId="20" xfId="0" applyFont="1" applyBorder="1" applyAlignment="1" applyProtection="1">
      <alignment horizontal="center" vertical="center" shrinkToFit="1"/>
      <protection locked="0"/>
    </xf>
    <xf numFmtId="0" fontId="65" fillId="0" borderId="21" xfId="0" applyFont="1" applyBorder="1" applyAlignment="1" applyProtection="1">
      <alignment horizontal="center" vertical="center" shrinkToFit="1"/>
      <protection locked="0"/>
    </xf>
    <xf numFmtId="0" fontId="66" fillId="0" borderId="47" xfId="0" applyFont="1" applyBorder="1" applyAlignment="1" applyProtection="1">
      <alignment horizontal="left" vertical="center"/>
      <protection locked="0"/>
    </xf>
    <xf numFmtId="0" fontId="66" fillId="0" borderId="48" xfId="0" applyFont="1" applyBorder="1" applyAlignment="1" applyProtection="1">
      <alignment horizontal="left" vertical="center"/>
      <protection locked="0"/>
    </xf>
    <xf numFmtId="0" fontId="66" fillId="0" borderId="49" xfId="0" applyFont="1" applyBorder="1" applyAlignment="1" applyProtection="1">
      <alignment horizontal="left" vertical="center"/>
      <protection locked="0"/>
    </xf>
    <xf numFmtId="20" fontId="67" fillId="0" borderId="44" xfId="0" applyNumberFormat="1" applyFont="1" applyBorder="1" applyAlignment="1" applyProtection="1">
      <alignment horizontal="center" vertical="center"/>
      <protection locked="0"/>
    </xf>
    <xf numFmtId="0" fontId="67" fillId="0" borderId="47" xfId="0" applyFont="1" applyBorder="1" applyAlignment="1" applyProtection="1">
      <alignment horizontal="center" vertical="center"/>
      <protection locked="0"/>
    </xf>
    <xf numFmtId="0" fontId="67" fillId="0" borderId="49" xfId="0" applyFont="1" applyBorder="1" applyAlignment="1" applyProtection="1">
      <alignment horizontal="center" vertical="center"/>
      <protection locked="0"/>
    </xf>
    <xf numFmtId="0" fontId="65" fillId="0" borderId="55" xfId="0" applyFont="1" applyBorder="1" applyAlignment="1" applyProtection="1">
      <alignment horizontal="center" vertical="center"/>
      <protection locked="0"/>
    </xf>
    <xf numFmtId="0" fontId="65" fillId="0" borderId="54" xfId="0" applyFont="1" applyBorder="1" applyAlignment="1" applyProtection="1">
      <alignment horizontal="center" vertical="center" wrapText="1"/>
      <protection locked="0"/>
    </xf>
    <xf numFmtId="0" fontId="59" fillId="0" borderId="25" xfId="0" applyFont="1" applyBorder="1" applyAlignment="1">
      <alignment horizontal="center" vertical="center"/>
    </xf>
    <xf numFmtId="0" fontId="59" fillId="0" borderId="27" xfId="0" applyFont="1" applyBorder="1" applyAlignment="1">
      <alignment horizontal="center" vertical="center"/>
    </xf>
    <xf numFmtId="0" fontId="59" fillId="0" borderId="29" xfId="0" applyFont="1" applyBorder="1" applyAlignment="1">
      <alignment horizontal="center" vertical="center"/>
    </xf>
    <xf numFmtId="176" fontId="60" fillId="0" borderId="25" xfId="0" applyNumberFormat="1" applyFont="1" applyBorder="1" applyAlignment="1" applyProtection="1">
      <alignment horizontal="center" vertical="center" shrinkToFit="1"/>
      <protection locked="0"/>
    </xf>
    <xf numFmtId="176" fontId="60" fillId="0" borderId="27" xfId="0" applyNumberFormat="1" applyFont="1" applyBorder="1" applyAlignment="1" applyProtection="1">
      <alignment horizontal="center" vertical="center" shrinkToFit="1"/>
      <protection locked="0"/>
    </xf>
    <xf numFmtId="0" fontId="36" fillId="0" borderId="28" xfId="0" applyFont="1" applyBorder="1" applyAlignment="1" applyProtection="1">
      <alignment horizontal="center" vertical="top" wrapText="1"/>
      <protection locked="0"/>
    </xf>
    <xf numFmtId="0" fontId="36" fillId="0" borderId="30" xfId="0" applyFont="1" applyBorder="1" applyAlignment="1" applyProtection="1">
      <alignment horizontal="center" vertical="top" wrapText="1"/>
      <protection locked="0"/>
    </xf>
    <xf numFmtId="0" fontId="61" fillId="0" borderId="5" xfId="0" applyFont="1" applyBorder="1" applyAlignment="1" applyProtection="1">
      <alignment horizontal="left" vertical="top" wrapText="1"/>
      <protection locked="0"/>
    </xf>
    <xf numFmtId="0" fontId="61" fillId="0" borderId="6" xfId="0" applyFont="1" applyBorder="1" applyAlignment="1" applyProtection="1">
      <alignment horizontal="left" vertical="top" wrapText="1"/>
      <protection locked="0"/>
    </xf>
    <xf numFmtId="0" fontId="61" fillId="0" borderId="7" xfId="0" applyFont="1" applyBorder="1" applyAlignment="1" applyProtection="1">
      <alignment horizontal="left" vertical="top" wrapText="1"/>
      <protection locked="0"/>
    </xf>
    <xf numFmtId="0" fontId="61" fillId="0" borderId="11" xfId="0" applyFont="1" applyBorder="1" applyAlignment="1" applyProtection="1">
      <alignment horizontal="left" vertical="top" wrapText="1"/>
      <protection locked="0"/>
    </xf>
    <xf numFmtId="0" fontId="61" fillId="0" borderId="0" xfId="0" applyFont="1" applyAlignment="1" applyProtection="1">
      <alignment horizontal="left" vertical="top" wrapText="1"/>
      <protection locked="0"/>
    </xf>
    <xf numFmtId="0" fontId="61" fillId="0" borderId="12" xfId="0" applyFont="1" applyBorder="1" applyAlignment="1" applyProtection="1">
      <alignment horizontal="left" vertical="top" wrapText="1"/>
      <protection locked="0"/>
    </xf>
    <xf numFmtId="0" fontId="61" fillId="0" borderId="19" xfId="0" applyFont="1" applyBorder="1" applyAlignment="1" applyProtection="1">
      <alignment horizontal="left" vertical="top" wrapText="1"/>
      <protection locked="0"/>
    </xf>
    <xf numFmtId="0" fontId="61" fillId="0" borderId="20" xfId="0" applyFont="1" applyBorder="1" applyAlignment="1" applyProtection="1">
      <alignment horizontal="left" vertical="top" wrapText="1"/>
      <protection locked="0"/>
    </xf>
    <xf numFmtId="0" fontId="61" fillId="0" borderId="21" xfId="0" applyFont="1" applyBorder="1" applyAlignment="1" applyProtection="1">
      <alignment horizontal="left" vertical="top" wrapText="1"/>
      <protection locked="0"/>
    </xf>
    <xf numFmtId="0" fontId="63" fillId="3" borderId="5" xfId="0" applyFont="1" applyFill="1" applyBorder="1" applyAlignment="1" applyProtection="1">
      <alignment horizontal="left" vertical="top" wrapText="1"/>
      <protection locked="0"/>
    </xf>
    <xf numFmtId="0" fontId="63" fillId="3" borderId="6" xfId="0" applyFont="1" applyFill="1" applyBorder="1" applyAlignment="1" applyProtection="1">
      <alignment horizontal="left" vertical="top" wrapText="1"/>
      <protection locked="0"/>
    </xf>
    <xf numFmtId="0" fontId="63" fillId="3" borderId="7" xfId="0" applyFont="1" applyFill="1" applyBorder="1" applyAlignment="1" applyProtection="1">
      <alignment horizontal="left" vertical="top" wrapText="1"/>
      <protection locked="0"/>
    </xf>
    <xf numFmtId="0" fontId="63" fillId="3" borderId="11" xfId="0" applyFont="1" applyFill="1" applyBorder="1" applyAlignment="1" applyProtection="1">
      <alignment horizontal="left" vertical="top" wrapText="1"/>
      <protection locked="0"/>
    </xf>
    <xf numFmtId="0" fontId="63" fillId="3" borderId="0" xfId="0" applyFont="1" applyFill="1" applyAlignment="1" applyProtection="1">
      <alignment horizontal="left" vertical="top" wrapText="1"/>
      <protection locked="0"/>
    </xf>
    <xf numFmtId="0" fontId="63" fillId="3" borderId="12" xfId="0" applyFont="1" applyFill="1" applyBorder="1" applyAlignment="1" applyProtection="1">
      <alignment horizontal="left" vertical="top" wrapText="1"/>
      <protection locked="0"/>
    </xf>
    <xf numFmtId="0" fontId="64" fillId="0" borderId="5" xfId="0" applyFont="1" applyBorder="1" applyAlignment="1" applyProtection="1">
      <alignment horizontal="center" vertical="center" wrapText="1"/>
      <protection locked="0"/>
    </xf>
    <xf numFmtId="0" fontId="65" fillId="0" borderId="6" xfId="0" applyFont="1" applyBorder="1" applyAlignment="1" applyProtection="1">
      <alignment horizontal="center" vertical="center" wrapText="1"/>
      <protection locked="0"/>
    </xf>
    <xf numFmtId="0" fontId="65" fillId="0" borderId="7" xfId="0" applyFont="1" applyBorder="1" applyAlignment="1" applyProtection="1">
      <alignment horizontal="center" vertical="center" wrapText="1"/>
      <protection locked="0"/>
    </xf>
    <xf numFmtId="0" fontId="65" fillId="0" borderId="11" xfId="0" applyFont="1" applyBorder="1" applyAlignment="1" applyProtection="1">
      <alignment horizontal="center" vertical="center" wrapText="1"/>
      <protection locked="0"/>
    </xf>
    <xf numFmtId="0" fontId="65" fillId="0" borderId="0" xfId="0" applyFont="1" applyAlignment="1" applyProtection="1">
      <alignment horizontal="center" vertical="center" wrapText="1"/>
      <protection locked="0"/>
    </xf>
    <xf numFmtId="0" fontId="65" fillId="0" borderId="12" xfId="0" applyFont="1" applyBorder="1" applyAlignment="1" applyProtection="1">
      <alignment horizontal="center" vertical="center" wrapText="1"/>
      <protection locked="0"/>
    </xf>
    <xf numFmtId="0" fontId="65" fillId="0" borderId="39" xfId="0" applyFont="1" applyBorder="1" applyAlignment="1" applyProtection="1">
      <alignment horizontal="center" vertical="center" wrapText="1"/>
      <protection locked="0"/>
    </xf>
    <xf numFmtId="0" fontId="65" fillId="0" borderId="31" xfId="0" applyFont="1" applyBorder="1" applyAlignment="1" applyProtection="1">
      <alignment horizontal="center" vertical="center" wrapText="1"/>
      <protection locked="0"/>
    </xf>
    <xf numFmtId="0" fontId="65" fillId="0" borderId="40" xfId="0" applyFont="1" applyBorder="1" applyAlignment="1" applyProtection="1">
      <alignment horizontal="center" vertical="center" wrapText="1"/>
      <protection locked="0"/>
    </xf>
    <xf numFmtId="0" fontId="63" fillId="0" borderId="26" xfId="0" applyFont="1" applyBorder="1" applyAlignment="1" applyProtection="1">
      <alignment horizontal="left" vertical="top" wrapText="1"/>
      <protection locked="0"/>
    </xf>
    <xf numFmtId="0" fontId="63" fillId="0" borderId="28" xfId="0" applyFont="1" applyBorder="1" applyAlignment="1" applyProtection="1">
      <alignment horizontal="left" vertical="top" wrapText="1"/>
      <protection locked="0"/>
    </xf>
    <xf numFmtId="0" fontId="63" fillId="0" borderId="30" xfId="0" applyFont="1" applyBorder="1" applyAlignment="1" applyProtection="1">
      <alignment horizontal="left" vertical="top" wrapText="1"/>
      <protection locked="0"/>
    </xf>
    <xf numFmtId="20" fontId="67" fillId="0" borderId="44" xfId="0" quotePrefix="1" applyNumberFormat="1" applyFont="1" applyBorder="1" applyAlignment="1" applyProtection="1">
      <alignment horizontal="center" vertical="center"/>
      <protection locked="0"/>
    </xf>
    <xf numFmtId="0" fontId="66" fillId="0" borderId="41" xfId="0" applyFont="1" applyBorder="1" applyAlignment="1" applyProtection="1">
      <alignment horizontal="left" vertical="center"/>
      <protection locked="0"/>
    </xf>
    <xf numFmtId="0" fontId="66" fillId="0" borderId="42" xfId="0" applyFont="1" applyBorder="1" applyAlignment="1" applyProtection="1">
      <alignment horizontal="left" vertical="center"/>
      <protection locked="0"/>
    </xf>
    <xf numFmtId="0" fontId="66" fillId="0" borderId="43" xfId="0" applyFont="1" applyBorder="1" applyAlignment="1" applyProtection="1">
      <alignment horizontal="left" vertical="center"/>
      <protection locked="0"/>
    </xf>
    <xf numFmtId="20" fontId="67" fillId="0" borderId="41" xfId="0" quotePrefix="1" applyNumberFormat="1" applyFont="1" applyBorder="1" applyAlignment="1" applyProtection="1">
      <alignment horizontal="center" vertical="center"/>
      <protection locked="0"/>
    </xf>
    <xf numFmtId="0" fontId="67" fillId="0" borderId="43" xfId="0" applyFont="1" applyBorder="1" applyAlignment="1" applyProtection="1">
      <alignment horizontal="center" vertical="center"/>
      <protection locked="0"/>
    </xf>
    <xf numFmtId="0" fontId="65" fillId="0" borderId="50" xfId="0" applyFont="1" applyBorder="1" applyAlignment="1" applyProtection="1">
      <alignment horizontal="center" vertical="center"/>
      <protection locked="0"/>
    </xf>
    <xf numFmtId="0" fontId="71" fillId="0" borderId="5" xfId="0" applyFont="1" applyBorder="1" applyAlignment="1" applyProtection="1">
      <alignment horizontal="left" vertical="top" wrapText="1"/>
      <protection locked="0"/>
    </xf>
    <xf numFmtId="0" fontId="63" fillId="0" borderId="5" xfId="0" applyFont="1" applyBorder="1" applyAlignment="1" applyProtection="1">
      <alignment horizontal="left" vertical="top" wrapText="1"/>
      <protection locked="0"/>
    </xf>
    <xf numFmtId="0" fontId="63" fillId="0" borderId="6" xfId="0" applyFont="1" applyBorder="1" applyAlignment="1" applyProtection="1">
      <alignment horizontal="left" vertical="top" wrapText="1"/>
      <protection locked="0"/>
    </xf>
    <xf numFmtId="0" fontId="63" fillId="0" borderId="7" xfId="0" applyFont="1" applyBorder="1" applyAlignment="1" applyProtection="1">
      <alignment horizontal="left" vertical="top" wrapText="1"/>
      <protection locked="0"/>
    </xf>
    <xf numFmtId="0" fontId="63" fillId="0" borderId="11" xfId="0" applyFont="1" applyBorder="1" applyAlignment="1" applyProtection="1">
      <alignment horizontal="left" vertical="top" wrapText="1"/>
      <protection locked="0"/>
    </xf>
    <xf numFmtId="0" fontId="63" fillId="0" borderId="0" xfId="0" applyFont="1" applyAlignment="1" applyProtection="1">
      <alignment horizontal="left" vertical="top" wrapText="1"/>
      <protection locked="0"/>
    </xf>
    <xf numFmtId="0" fontId="63" fillId="0" borderId="12" xfId="0" applyFont="1" applyBorder="1" applyAlignment="1" applyProtection="1">
      <alignment horizontal="left" vertical="top" wrapText="1"/>
      <protection locked="0"/>
    </xf>
    <xf numFmtId="0" fontId="63" fillId="0" borderId="19" xfId="0" applyFont="1" applyBorder="1" applyAlignment="1" applyProtection="1">
      <alignment horizontal="left" vertical="top" wrapText="1"/>
      <protection locked="0"/>
    </xf>
    <xf numFmtId="0" fontId="63" fillId="0" borderId="20" xfId="0" applyFont="1" applyBorder="1" applyAlignment="1" applyProtection="1">
      <alignment horizontal="left" vertical="top" wrapText="1"/>
      <protection locked="0"/>
    </xf>
    <xf numFmtId="0" fontId="63" fillId="0" borderId="21" xfId="0" applyFont="1" applyBorder="1" applyAlignment="1" applyProtection="1">
      <alignment horizontal="left" vertical="top" wrapText="1"/>
      <protection locked="0"/>
    </xf>
    <xf numFmtId="0" fontId="64" fillId="0" borderId="12" xfId="0" applyFont="1" applyBorder="1" applyAlignment="1" applyProtection="1">
      <alignment horizontal="center" vertical="center" shrinkToFit="1"/>
      <protection locked="0"/>
    </xf>
    <xf numFmtId="0" fontId="65" fillId="0" borderId="5" xfId="0" applyFont="1" applyBorder="1" applyAlignment="1" applyProtection="1">
      <alignment horizontal="center" vertical="center" wrapText="1"/>
      <protection locked="0"/>
    </xf>
    <xf numFmtId="20" fontId="68" fillId="0" borderId="39" xfId="0" applyNumberFormat="1" applyFont="1" applyBorder="1" applyAlignment="1" applyProtection="1">
      <alignment horizontal="center" vertical="center" shrinkToFit="1"/>
      <protection locked="0"/>
    </xf>
    <xf numFmtId="0" fontId="67" fillId="0" borderId="40" xfId="0" applyFont="1" applyBorder="1" applyAlignment="1" applyProtection="1">
      <alignment horizontal="center" vertical="center" shrinkToFit="1"/>
      <protection locked="0"/>
    </xf>
    <xf numFmtId="0" fontId="67" fillId="0" borderId="44" xfId="0" applyFont="1" applyBorder="1" applyAlignment="1" applyProtection="1">
      <alignment horizontal="center" vertical="center" shrinkToFit="1"/>
      <protection locked="0"/>
    </xf>
    <xf numFmtId="0" fontId="67" fillId="0" borderId="46" xfId="0" applyFont="1" applyBorder="1" applyAlignment="1" applyProtection="1">
      <alignment horizontal="center" vertical="center" shrinkToFit="1"/>
      <protection locked="0"/>
    </xf>
    <xf numFmtId="0" fontId="61" fillId="0" borderId="25" xfId="0" applyFont="1" applyBorder="1" applyAlignment="1" applyProtection="1">
      <alignment horizontal="left" vertical="top" wrapText="1"/>
      <protection locked="0"/>
    </xf>
    <xf numFmtId="0" fontId="61" fillId="0" borderId="27" xfId="0" applyFont="1" applyBorder="1" applyAlignment="1" applyProtection="1">
      <alignment horizontal="left" vertical="top" wrapText="1"/>
      <protection locked="0"/>
    </xf>
    <xf numFmtId="0" fontId="61" fillId="0" borderId="29" xfId="0" applyFont="1" applyBorder="1" applyAlignment="1" applyProtection="1">
      <alignment horizontal="left" vertical="top" wrapText="1"/>
      <protection locked="0"/>
    </xf>
    <xf numFmtId="0" fontId="63" fillId="0" borderId="25" xfId="0" applyFont="1" applyBorder="1" applyAlignment="1" applyProtection="1">
      <alignment horizontal="left" vertical="top" wrapText="1"/>
      <protection locked="0"/>
    </xf>
    <xf numFmtId="0" fontId="63" fillId="0" borderId="27" xfId="0" applyFont="1" applyBorder="1" applyAlignment="1" applyProtection="1">
      <alignment horizontal="left" vertical="top" wrapText="1"/>
      <protection locked="0"/>
    </xf>
    <xf numFmtId="0" fontId="63" fillId="0" borderId="29" xfId="0" applyFont="1" applyBorder="1" applyAlignment="1" applyProtection="1">
      <alignment horizontal="left" vertical="top" wrapText="1"/>
      <protection locked="0"/>
    </xf>
  </cellXfs>
  <cellStyles count="7">
    <cellStyle name="標準" xfId="0" builtinId="0"/>
    <cellStyle name="標準 2" xfId="1" xr:uid="{272BC80E-09C2-4F71-A911-6E6526B74877}"/>
    <cellStyle name="標準 3" xfId="4" xr:uid="{E10C2571-9958-4E17-A194-4555D5F8B237}"/>
    <cellStyle name="標準 3 2" xfId="5" xr:uid="{BB2EB7A2-8D33-449C-A912-6A35A1FB387F}"/>
    <cellStyle name="標準 3 3" xfId="6" xr:uid="{19ECCCAD-EDF3-4D33-965A-1B2FE74EE2D3}"/>
    <cellStyle name="標準 4 2 2" xfId="3" xr:uid="{E65AACCB-CD5A-4603-AA34-72A358F0EA45}"/>
    <cellStyle name="標準 5" xfId="2" xr:uid="{7B01DCDC-B578-46B9-9A46-50C2BE33270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F5D7-69EF-4CF0-A7F2-9E1719D33A20}">
  <sheetPr>
    <pageSetUpPr fitToPage="1"/>
  </sheetPr>
  <dimension ref="A1:AE49"/>
  <sheetViews>
    <sheetView zoomScale="56" zoomScaleNormal="56" workbookViewId="0">
      <selection activeCell="E29" sqref="E29:N34"/>
    </sheetView>
  </sheetViews>
  <sheetFormatPr defaultRowHeight="18"/>
  <cols>
    <col min="1" max="1" width="3.58203125" customWidth="1"/>
    <col min="2" max="2" width="8.58203125" customWidth="1"/>
    <col min="3" max="3" width="6.58203125" customWidth="1"/>
    <col min="4" max="4" width="2.58203125" customWidth="1"/>
    <col min="5" max="14" width="7.08203125" customWidth="1"/>
    <col min="15" max="17" width="5.58203125" customWidth="1"/>
    <col min="18" max="18" width="6.58203125" customWidth="1"/>
    <col min="19" max="23" width="5.58203125" customWidth="1"/>
    <col min="24" max="25" width="6.58203125" customWidth="1"/>
    <col min="26" max="28" width="7.58203125" customWidth="1"/>
    <col min="29" max="30" width="3.58203125" customWidth="1"/>
    <col min="31" max="31" width="21.58203125" customWidth="1"/>
  </cols>
  <sheetData>
    <row r="1" spans="1:31" ht="18" customHeight="1">
      <c r="A1" s="250" t="s">
        <v>0</v>
      </c>
      <c r="B1" s="251"/>
      <c r="C1" s="251"/>
      <c r="D1" s="251"/>
      <c r="E1" s="251"/>
      <c r="F1" s="252"/>
      <c r="G1" s="253" t="s">
        <v>1</v>
      </c>
      <c r="H1" s="251"/>
      <c r="I1" s="251"/>
      <c r="J1" s="251"/>
      <c r="K1" s="251"/>
      <c r="L1" s="251"/>
      <c r="M1" s="251"/>
      <c r="N1" s="251"/>
      <c r="O1" s="250" t="s">
        <v>2</v>
      </c>
      <c r="P1" s="251"/>
      <c r="Q1" s="252"/>
      <c r="R1" s="216" t="s">
        <v>3</v>
      </c>
      <c r="S1" s="216"/>
      <c r="T1" s="216"/>
      <c r="U1" s="216"/>
      <c r="V1" s="216"/>
      <c r="W1" s="216"/>
      <c r="X1" s="216"/>
      <c r="Y1" s="216"/>
      <c r="Z1" s="216" t="s">
        <v>4</v>
      </c>
      <c r="AA1" s="216"/>
      <c r="AB1" s="216"/>
      <c r="AC1" s="216"/>
      <c r="AD1" s="216"/>
      <c r="AE1" s="216"/>
    </row>
    <row r="2" spans="1:31" ht="8.15" customHeight="1">
      <c r="A2" s="254" t="s">
        <v>86</v>
      </c>
      <c r="B2" s="255"/>
      <c r="C2" s="255"/>
      <c r="D2" s="255"/>
      <c r="E2" s="255"/>
      <c r="F2" s="256"/>
      <c r="G2" s="257" t="s">
        <v>5</v>
      </c>
      <c r="H2" s="258"/>
      <c r="I2" s="258"/>
      <c r="J2" s="258"/>
      <c r="K2" s="258"/>
      <c r="L2" s="258"/>
      <c r="M2" s="258"/>
      <c r="N2" s="259"/>
      <c r="O2" s="263" t="s">
        <v>87</v>
      </c>
      <c r="P2" s="264"/>
      <c r="Q2" s="265"/>
      <c r="R2" s="232" t="s">
        <v>6</v>
      </c>
      <c r="S2" s="235" t="s">
        <v>44</v>
      </c>
      <c r="T2" s="236"/>
      <c r="U2" s="236"/>
      <c r="V2" s="236"/>
      <c r="W2" s="236"/>
      <c r="X2" s="236"/>
      <c r="Y2" s="237"/>
      <c r="Z2" s="217" t="s">
        <v>72</v>
      </c>
      <c r="AA2" s="218"/>
      <c r="AB2" s="218"/>
      <c r="AC2" s="218"/>
      <c r="AD2" s="218"/>
      <c r="AE2" s="219"/>
    </row>
    <row r="3" spans="1:31" ht="8.15" customHeight="1">
      <c r="A3" s="254"/>
      <c r="B3" s="255"/>
      <c r="C3" s="255"/>
      <c r="D3" s="255"/>
      <c r="E3" s="255"/>
      <c r="F3" s="256"/>
      <c r="G3" s="260"/>
      <c r="H3" s="261"/>
      <c r="I3" s="261"/>
      <c r="J3" s="261"/>
      <c r="K3" s="261"/>
      <c r="L3" s="261"/>
      <c r="M3" s="261"/>
      <c r="N3" s="262"/>
      <c r="O3" s="266"/>
      <c r="P3" s="267"/>
      <c r="Q3" s="268"/>
      <c r="R3" s="233"/>
      <c r="S3" s="238"/>
      <c r="T3" s="238"/>
      <c r="U3" s="238"/>
      <c r="V3" s="238"/>
      <c r="W3" s="238"/>
      <c r="X3" s="238"/>
      <c r="Y3" s="239"/>
      <c r="Z3" s="220"/>
      <c r="AA3" s="221"/>
      <c r="AB3" s="221"/>
      <c r="AC3" s="221"/>
      <c r="AD3" s="221"/>
      <c r="AE3" s="222"/>
    </row>
    <row r="4" spans="1:31" ht="8.15" customHeight="1">
      <c r="A4" s="254"/>
      <c r="B4" s="255"/>
      <c r="C4" s="255"/>
      <c r="D4" s="255"/>
      <c r="E4" s="255"/>
      <c r="F4" s="256"/>
      <c r="G4" s="260"/>
      <c r="H4" s="261"/>
      <c r="I4" s="261"/>
      <c r="J4" s="261"/>
      <c r="K4" s="261"/>
      <c r="L4" s="261"/>
      <c r="M4" s="261"/>
      <c r="N4" s="262"/>
      <c r="O4" s="266"/>
      <c r="P4" s="267"/>
      <c r="Q4" s="268"/>
      <c r="R4" s="233"/>
      <c r="S4" s="238"/>
      <c r="T4" s="238"/>
      <c r="U4" s="238"/>
      <c r="V4" s="238"/>
      <c r="W4" s="238"/>
      <c r="X4" s="238"/>
      <c r="Y4" s="239"/>
      <c r="Z4" s="220"/>
      <c r="AA4" s="221"/>
      <c r="AB4" s="221"/>
      <c r="AC4" s="221"/>
      <c r="AD4" s="221"/>
      <c r="AE4" s="222"/>
    </row>
    <row r="5" spans="1:31" ht="8.15" customHeight="1">
      <c r="A5" s="254"/>
      <c r="B5" s="255"/>
      <c r="C5" s="255"/>
      <c r="D5" s="255"/>
      <c r="E5" s="255"/>
      <c r="F5" s="256"/>
      <c r="G5" s="226" t="s">
        <v>38</v>
      </c>
      <c r="H5" s="227"/>
      <c r="I5" s="227"/>
      <c r="J5" s="227"/>
      <c r="K5" s="227"/>
      <c r="L5" s="227"/>
      <c r="M5" s="227"/>
      <c r="N5" s="228"/>
      <c r="O5" s="266"/>
      <c r="P5" s="267"/>
      <c r="Q5" s="268"/>
      <c r="R5" s="234"/>
      <c r="S5" s="240"/>
      <c r="T5" s="240"/>
      <c r="U5" s="240"/>
      <c r="V5" s="240"/>
      <c r="W5" s="240"/>
      <c r="X5" s="240"/>
      <c r="Y5" s="241"/>
      <c r="Z5" s="220"/>
      <c r="AA5" s="221"/>
      <c r="AB5" s="221"/>
      <c r="AC5" s="221"/>
      <c r="AD5" s="221"/>
      <c r="AE5" s="222"/>
    </row>
    <row r="6" spans="1:31" ht="8.15" customHeight="1">
      <c r="A6" s="254"/>
      <c r="B6" s="255"/>
      <c r="C6" s="255"/>
      <c r="D6" s="255"/>
      <c r="E6" s="255"/>
      <c r="F6" s="256"/>
      <c r="G6" s="226"/>
      <c r="H6" s="227"/>
      <c r="I6" s="227"/>
      <c r="J6" s="227"/>
      <c r="K6" s="227"/>
      <c r="L6" s="227"/>
      <c r="M6" s="227"/>
      <c r="N6" s="228"/>
      <c r="O6" s="266"/>
      <c r="P6" s="267"/>
      <c r="Q6" s="268"/>
      <c r="R6" s="232" t="s">
        <v>7</v>
      </c>
      <c r="S6" s="235" t="s">
        <v>45</v>
      </c>
      <c r="T6" s="236"/>
      <c r="U6" s="236"/>
      <c r="V6" s="236"/>
      <c r="W6" s="236"/>
      <c r="X6" s="236"/>
      <c r="Y6" s="237"/>
      <c r="Z6" s="223"/>
      <c r="AA6" s="224"/>
      <c r="AB6" s="224"/>
      <c r="AC6" s="224"/>
      <c r="AD6" s="224"/>
      <c r="AE6" s="225"/>
    </row>
    <row r="7" spans="1:31" ht="8.15" customHeight="1">
      <c r="A7" s="254"/>
      <c r="B7" s="255"/>
      <c r="C7" s="255"/>
      <c r="D7" s="255"/>
      <c r="E7" s="255"/>
      <c r="F7" s="256"/>
      <c r="G7" s="226"/>
      <c r="H7" s="227"/>
      <c r="I7" s="227"/>
      <c r="J7" s="227"/>
      <c r="K7" s="227"/>
      <c r="L7" s="227"/>
      <c r="M7" s="227"/>
      <c r="N7" s="228"/>
      <c r="O7" s="266"/>
      <c r="P7" s="267"/>
      <c r="Q7" s="268"/>
      <c r="R7" s="233"/>
      <c r="S7" s="238"/>
      <c r="T7" s="238"/>
      <c r="U7" s="238"/>
      <c r="V7" s="238"/>
      <c r="W7" s="238"/>
      <c r="X7" s="238"/>
      <c r="Y7" s="239"/>
      <c r="Z7" s="242" t="s">
        <v>71</v>
      </c>
      <c r="AA7" s="243"/>
      <c r="AB7" s="243"/>
      <c r="AC7" s="243"/>
      <c r="AD7" s="243"/>
      <c r="AE7" s="244"/>
    </row>
    <row r="8" spans="1:31" ht="8.15" customHeight="1">
      <c r="A8" s="254"/>
      <c r="B8" s="255"/>
      <c r="C8" s="255"/>
      <c r="D8" s="255"/>
      <c r="E8" s="255"/>
      <c r="F8" s="256"/>
      <c r="G8" s="226"/>
      <c r="H8" s="227"/>
      <c r="I8" s="227"/>
      <c r="J8" s="227"/>
      <c r="K8" s="227"/>
      <c r="L8" s="227"/>
      <c r="M8" s="227"/>
      <c r="N8" s="228"/>
      <c r="O8" s="266"/>
      <c r="P8" s="267"/>
      <c r="Q8" s="268"/>
      <c r="R8" s="233"/>
      <c r="S8" s="238"/>
      <c r="T8" s="238"/>
      <c r="U8" s="238"/>
      <c r="V8" s="238"/>
      <c r="W8" s="238"/>
      <c r="X8" s="238"/>
      <c r="Y8" s="239"/>
      <c r="Z8" s="220"/>
      <c r="AA8" s="221"/>
      <c r="AB8" s="221"/>
      <c r="AC8" s="221"/>
      <c r="AD8" s="221"/>
      <c r="AE8" s="222"/>
    </row>
    <row r="9" spans="1:31" ht="8.15" customHeight="1">
      <c r="A9" s="254"/>
      <c r="B9" s="255"/>
      <c r="C9" s="255"/>
      <c r="D9" s="255"/>
      <c r="E9" s="255"/>
      <c r="F9" s="256"/>
      <c r="G9" s="229"/>
      <c r="H9" s="230"/>
      <c r="I9" s="230"/>
      <c r="J9" s="230"/>
      <c r="K9" s="230"/>
      <c r="L9" s="230"/>
      <c r="M9" s="230"/>
      <c r="N9" s="231"/>
      <c r="O9" s="269"/>
      <c r="P9" s="270"/>
      <c r="Q9" s="271"/>
      <c r="R9" s="234"/>
      <c r="S9" s="240"/>
      <c r="T9" s="240"/>
      <c r="U9" s="240"/>
      <c r="V9" s="240"/>
      <c r="W9" s="240"/>
      <c r="X9" s="240"/>
      <c r="Y9" s="241"/>
      <c r="Z9" s="245"/>
      <c r="AA9" s="246"/>
      <c r="AB9" s="246"/>
      <c r="AC9" s="246"/>
      <c r="AD9" s="246"/>
      <c r="AE9" s="247"/>
    </row>
    <row r="10" spans="1:31">
      <c r="A10" s="206" t="s">
        <v>8</v>
      </c>
      <c r="B10" s="207"/>
      <c r="C10" s="208" t="s">
        <v>9</v>
      </c>
      <c r="D10" s="208"/>
      <c r="E10" s="209" t="s">
        <v>10</v>
      </c>
      <c r="F10" s="209"/>
      <c r="G10" s="210"/>
      <c r="H10" s="210"/>
      <c r="I10" s="210"/>
      <c r="J10" s="210"/>
      <c r="K10" s="210"/>
      <c r="L10" s="210"/>
      <c r="M10" s="210"/>
      <c r="N10" s="211"/>
      <c r="O10" s="212" t="s">
        <v>11</v>
      </c>
      <c r="P10" s="213"/>
      <c r="Q10" s="214"/>
      <c r="R10" s="215" t="s">
        <v>12</v>
      </c>
      <c r="S10" s="215"/>
      <c r="T10" s="215"/>
      <c r="U10" s="215"/>
      <c r="V10" s="215"/>
      <c r="W10" s="215"/>
      <c r="X10" s="215"/>
      <c r="Y10" s="207"/>
      <c r="Z10" s="216" t="s">
        <v>13</v>
      </c>
      <c r="AA10" s="216"/>
      <c r="AB10" s="216"/>
      <c r="AC10" s="216"/>
      <c r="AD10" s="216"/>
      <c r="AE10" s="216"/>
    </row>
    <row r="11" spans="1:31" ht="11.15" customHeight="1">
      <c r="A11" s="305">
        <v>1</v>
      </c>
      <c r="B11" s="309">
        <v>46252</v>
      </c>
      <c r="C11" s="284" t="s">
        <v>43</v>
      </c>
      <c r="D11" s="284"/>
      <c r="E11" s="346" t="s">
        <v>95</v>
      </c>
      <c r="F11" s="313"/>
      <c r="G11" s="313"/>
      <c r="H11" s="313"/>
      <c r="I11" s="313"/>
      <c r="J11" s="313"/>
      <c r="K11" s="313"/>
      <c r="L11" s="313"/>
      <c r="M11" s="313"/>
      <c r="N11" s="314"/>
      <c r="O11" s="347"/>
      <c r="P11" s="348"/>
      <c r="Q11" s="349"/>
      <c r="R11" s="327" t="s">
        <v>41</v>
      </c>
      <c r="S11" s="328"/>
      <c r="T11" s="328"/>
      <c r="U11" s="328"/>
      <c r="V11" s="328"/>
      <c r="W11" s="329"/>
      <c r="X11" s="336" t="s">
        <v>96</v>
      </c>
      <c r="Y11" s="336"/>
      <c r="Z11" s="340" t="s">
        <v>14</v>
      </c>
      <c r="AA11" s="341"/>
      <c r="AB11" s="342"/>
      <c r="AC11" s="343" t="s">
        <v>25</v>
      </c>
      <c r="AD11" s="344"/>
      <c r="AE11" s="345"/>
    </row>
    <row r="12" spans="1:31" ht="11.15" customHeight="1">
      <c r="A12" s="306"/>
      <c r="B12" s="309"/>
      <c r="C12" s="310"/>
      <c r="D12" s="310"/>
      <c r="E12" s="315"/>
      <c r="F12" s="316"/>
      <c r="G12" s="316"/>
      <c r="H12" s="316"/>
      <c r="I12" s="316"/>
      <c r="J12" s="316"/>
      <c r="K12" s="316"/>
      <c r="L12" s="316"/>
      <c r="M12" s="316"/>
      <c r="N12" s="317"/>
      <c r="O12" s="350"/>
      <c r="P12" s="351"/>
      <c r="Q12" s="352"/>
      <c r="R12" s="330"/>
      <c r="S12" s="331"/>
      <c r="T12" s="331"/>
      <c r="U12" s="331"/>
      <c r="V12" s="331"/>
      <c r="W12" s="332"/>
      <c r="X12" s="337"/>
      <c r="Y12" s="337"/>
      <c r="Z12" s="275"/>
      <c r="AA12" s="276"/>
      <c r="AB12" s="277"/>
      <c r="AC12" s="280"/>
      <c r="AD12" s="281"/>
      <c r="AE12" s="283"/>
    </row>
    <row r="13" spans="1:31" ht="11.15" customHeight="1">
      <c r="A13" s="306"/>
      <c r="B13" s="309"/>
      <c r="C13" s="310"/>
      <c r="D13" s="310"/>
      <c r="E13" s="315"/>
      <c r="F13" s="316"/>
      <c r="G13" s="316"/>
      <c r="H13" s="316"/>
      <c r="I13" s="316"/>
      <c r="J13" s="316"/>
      <c r="K13" s="316"/>
      <c r="L13" s="316"/>
      <c r="M13" s="316"/>
      <c r="N13" s="317"/>
      <c r="O13" s="350"/>
      <c r="P13" s="351"/>
      <c r="Q13" s="352"/>
      <c r="R13" s="330"/>
      <c r="S13" s="331"/>
      <c r="T13" s="331"/>
      <c r="U13" s="331"/>
      <c r="V13" s="331"/>
      <c r="W13" s="332"/>
      <c r="X13" s="337"/>
      <c r="Y13" s="337"/>
      <c r="Z13" s="275" t="s">
        <v>26</v>
      </c>
      <c r="AA13" s="276"/>
      <c r="AB13" s="277"/>
      <c r="AC13" s="339" t="s">
        <v>25</v>
      </c>
      <c r="AD13" s="281"/>
      <c r="AE13" s="283"/>
    </row>
    <row r="14" spans="1:31" ht="11.15" customHeight="1">
      <c r="A14" s="306"/>
      <c r="B14" s="309"/>
      <c r="C14" s="310"/>
      <c r="D14" s="310"/>
      <c r="E14" s="315"/>
      <c r="F14" s="316"/>
      <c r="G14" s="316"/>
      <c r="H14" s="316"/>
      <c r="I14" s="316"/>
      <c r="J14" s="316"/>
      <c r="K14" s="316"/>
      <c r="L14" s="316"/>
      <c r="M14" s="316"/>
      <c r="N14" s="317"/>
      <c r="O14" s="350"/>
      <c r="P14" s="351"/>
      <c r="Q14" s="352"/>
      <c r="R14" s="333"/>
      <c r="S14" s="334"/>
      <c r="T14" s="334"/>
      <c r="U14" s="334"/>
      <c r="V14" s="334"/>
      <c r="W14" s="335"/>
      <c r="X14" s="337"/>
      <c r="Y14" s="337"/>
      <c r="Z14" s="275"/>
      <c r="AA14" s="276"/>
      <c r="AB14" s="277"/>
      <c r="AC14" s="280"/>
      <c r="AD14" s="281"/>
      <c r="AE14" s="283"/>
    </row>
    <row r="15" spans="1:31" ht="11.15" customHeight="1">
      <c r="A15" s="306"/>
      <c r="B15" s="287" t="str">
        <f>TEXT(B11,"(aaa)")</f>
        <v>(火)</v>
      </c>
      <c r="C15" s="310"/>
      <c r="D15" s="310"/>
      <c r="E15" s="315"/>
      <c r="F15" s="316"/>
      <c r="G15" s="316"/>
      <c r="H15" s="316"/>
      <c r="I15" s="316"/>
      <c r="J15" s="316"/>
      <c r="K15" s="316"/>
      <c r="L15" s="316"/>
      <c r="M15" s="316"/>
      <c r="N15" s="317"/>
      <c r="O15" s="350"/>
      <c r="P15" s="351"/>
      <c r="Q15" s="352"/>
      <c r="R15" s="289" t="s">
        <v>37</v>
      </c>
      <c r="S15" s="291" t="s">
        <v>42</v>
      </c>
      <c r="T15" s="292"/>
      <c r="U15" s="292"/>
      <c r="V15" s="292"/>
      <c r="W15" s="293"/>
      <c r="X15" s="337"/>
      <c r="Y15" s="337"/>
      <c r="Z15" s="275" t="s">
        <v>78</v>
      </c>
      <c r="AA15" s="276"/>
      <c r="AB15" s="277"/>
      <c r="AC15" s="300">
        <v>0.77083333333333337</v>
      </c>
      <c r="AD15" s="281"/>
      <c r="AE15" s="283" t="s">
        <v>79</v>
      </c>
    </row>
    <row r="16" spans="1:31" ht="11.15" customHeight="1">
      <c r="A16" s="307"/>
      <c r="B16" s="288"/>
      <c r="C16" s="311"/>
      <c r="D16" s="311"/>
      <c r="E16" s="318"/>
      <c r="F16" s="319"/>
      <c r="G16" s="319"/>
      <c r="H16" s="319"/>
      <c r="I16" s="319"/>
      <c r="J16" s="319"/>
      <c r="K16" s="319"/>
      <c r="L16" s="319"/>
      <c r="M16" s="319"/>
      <c r="N16" s="320"/>
      <c r="O16" s="353"/>
      <c r="P16" s="354"/>
      <c r="Q16" s="355"/>
      <c r="R16" s="290"/>
      <c r="S16" s="294"/>
      <c r="T16" s="295"/>
      <c r="U16" s="295"/>
      <c r="V16" s="295"/>
      <c r="W16" s="296"/>
      <c r="X16" s="338"/>
      <c r="Y16" s="338"/>
      <c r="Z16" s="297"/>
      <c r="AA16" s="298"/>
      <c r="AB16" s="299"/>
      <c r="AC16" s="301"/>
      <c r="AD16" s="302"/>
      <c r="AE16" s="303"/>
    </row>
    <row r="17" spans="1:31" ht="11.15" customHeight="1">
      <c r="A17" s="305">
        <v>2</v>
      </c>
      <c r="B17" s="308">
        <f>B11+1</f>
        <v>46253</v>
      </c>
      <c r="C17" s="284" t="s">
        <v>43</v>
      </c>
      <c r="D17" s="284"/>
      <c r="E17" s="312" t="s">
        <v>97</v>
      </c>
      <c r="F17" s="313"/>
      <c r="G17" s="313"/>
      <c r="H17" s="313"/>
      <c r="I17" s="313"/>
      <c r="J17" s="313"/>
      <c r="K17" s="313"/>
      <c r="L17" s="313"/>
      <c r="M17" s="313"/>
      <c r="N17" s="314"/>
      <c r="O17" s="321" t="s">
        <v>98</v>
      </c>
      <c r="P17" s="322"/>
      <c r="Q17" s="323"/>
      <c r="R17" s="327" t="s">
        <v>41</v>
      </c>
      <c r="S17" s="328"/>
      <c r="T17" s="328"/>
      <c r="U17" s="328"/>
      <c r="V17" s="328"/>
      <c r="W17" s="329"/>
      <c r="X17" s="336" t="s">
        <v>96</v>
      </c>
      <c r="Y17" s="336"/>
      <c r="Z17" s="272" t="s">
        <v>15</v>
      </c>
      <c r="AA17" s="273"/>
      <c r="AB17" s="274"/>
      <c r="AC17" s="278">
        <v>0.27083333333333331</v>
      </c>
      <c r="AD17" s="279"/>
      <c r="AE17" s="282"/>
    </row>
    <row r="18" spans="1:31" ht="11.15" customHeight="1">
      <c r="A18" s="306"/>
      <c r="B18" s="309"/>
      <c r="C18" s="310"/>
      <c r="D18" s="310"/>
      <c r="E18" s="315"/>
      <c r="F18" s="316"/>
      <c r="G18" s="316"/>
      <c r="H18" s="316"/>
      <c r="I18" s="316"/>
      <c r="J18" s="316"/>
      <c r="K18" s="316"/>
      <c r="L18" s="316"/>
      <c r="M18" s="316"/>
      <c r="N18" s="317"/>
      <c r="O18" s="324"/>
      <c r="P18" s="325"/>
      <c r="Q18" s="326"/>
      <c r="R18" s="330"/>
      <c r="S18" s="331"/>
      <c r="T18" s="331"/>
      <c r="U18" s="331"/>
      <c r="V18" s="331"/>
      <c r="W18" s="332"/>
      <c r="X18" s="337"/>
      <c r="Y18" s="337"/>
      <c r="Z18" s="275"/>
      <c r="AA18" s="276"/>
      <c r="AB18" s="277"/>
      <c r="AC18" s="280"/>
      <c r="AD18" s="281"/>
      <c r="AE18" s="283"/>
    </row>
    <row r="19" spans="1:31" ht="11.15" customHeight="1">
      <c r="A19" s="306"/>
      <c r="B19" s="309"/>
      <c r="C19" s="310"/>
      <c r="D19" s="310"/>
      <c r="E19" s="315"/>
      <c r="F19" s="316"/>
      <c r="G19" s="316"/>
      <c r="H19" s="316"/>
      <c r="I19" s="316"/>
      <c r="J19" s="316"/>
      <c r="K19" s="316"/>
      <c r="L19" s="316"/>
      <c r="M19" s="316"/>
      <c r="N19" s="317"/>
      <c r="O19" s="324"/>
      <c r="P19" s="325"/>
      <c r="Q19" s="326"/>
      <c r="R19" s="330"/>
      <c r="S19" s="331"/>
      <c r="T19" s="331"/>
      <c r="U19" s="331"/>
      <c r="V19" s="331"/>
      <c r="W19" s="332"/>
      <c r="X19" s="337"/>
      <c r="Y19" s="337"/>
      <c r="Z19" s="275" t="s">
        <v>75</v>
      </c>
      <c r="AA19" s="276"/>
      <c r="AB19" s="277"/>
      <c r="AC19" s="300">
        <v>0.52083333333333337</v>
      </c>
      <c r="AD19" s="281"/>
      <c r="AE19" s="304" t="s">
        <v>77</v>
      </c>
    </row>
    <row r="20" spans="1:31" ht="11.15" customHeight="1">
      <c r="A20" s="306"/>
      <c r="B20" s="309"/>
      <c r="C20" s="310"/>
      <c r="D20" s="310"/>
      <c r="E20" s="315"/>
      <c r="F20" s="316"/>
      <c r="G20" s="316"/>
      <c r="H20" s="316"/>
      <c r="I20" s="316"/>
      <c r="J20" s="316"/>
      <c r="K20" s="316"/>
      <c r="L20" s="316"/>
      <c r="M20" s="316"/>
      <c r="N20" s="317"/>
      <c r="O20" s="324"/>
      <c r="P20" s="325"/>
      <c r="Q20" s="326"/>
      <c r="R20" s="333"/>
      <c r="S20" s="334"/>
      <c r="T20" s="334"/>
      <c r="U20" s="334"/>
      <c r="V20" s="334"/>
      <c r="W20" s="335"/>
      <c r="X20" s="337"/>
      <c r="Y20" s="337"/>
      <c r="Z20" s="275"/>
      <c r="AA20" s="276"/>
      <c r="AB20" s="277"/>
      <c r="AC20" s="280"/>
      <c r="AD20" s="281"/>
      <c r="AE20" s="283"/>
    </row>
    <row r="21" spans="1:31" ht="11.15" customHeight="1">
      <c r="A21" s="306"/>
      <c r="B21" s="287" t="str">
        <f>TEXT(B17,"(aaa)")</f>
        <v>(水)</v>
      </c>
      <c r="C21" s="310"/>
      <c r="D21" s="310"/>
      <c r="E21" s="315"/>
      <c r="F21" s="316"/>
      <c r="G21" s="316"/>
      <c r="H21" s="316"/>
      <c r="I21" s="316"/>
      <c r="J21" s="316"/>
      <c r="K21" s="316"/>
      <c r="L21" s="316"/>
      <c r="M21" s="316"/>
      <c r="N21" s="317"/>
      <c r="O21" s="324"/>
      <c r="P21" s="325"/>
      <c r="Q21" s="326"/>
      <c r="R21" s="289" t="s">
        <v>37</v>
      </c>
      <c r="S21" s="291" t="s">
        <v>42</v>
      </c>
      <c r="T21" s="292"/>
      <c r="U21" s="292"/>
      <c r="V21" s="292"/>
      <c r="W21" s="293"/>
      <c r="X21" s="337"/>
      <c r="Y21" s="337"/>
      <c r="Z21" s="275" t="s">
        <v>78</v>
      </c>
      <c r="AA21" s="276"/>
      <c r="AB21" s="277"/>
      <c r="AC21" s="300">
        <v>0.79166666666666663</v>
      </c>
      <c r="AD21" s="281"/>
      <c r="AE21" s="283" t="s">
        <v>79</v>
      </c>
    </row>
    <row r="22" spans="1:31" ht="11.15" customHeight="1">
      <c r="A22" s="307"/>
      <c r="B22" s="288"/>
      <c r="C22" s="311"/>
      <c r="D22" s="311"/>
      <c r="E22" s="318"/>
      <c r="F22" s="319"/>
      <c r="G22" s="319"/>
      <c r="H22" s="319"/>
      <c r="I22" s="319"/>
      <c r="J22" s="319"/>
      <c r="K22" s="319"/>
      <c r="L22" s="319"/>
      <c r="M22" s="319"/>
      <c r="N22" s="320"/>
      <c r="O22" s="324"/>
      <c r="P22" s="325"/>
      <c r="Q22" s="326"/>
      <c r="R22" s="290"/>
      <c r="S22" s="294"/>
      <c r="T22" s="295"/>
      <c r="U22" s="295"/>
      <c r="V22" s="295"/>
      <c r="W22" s="296"/>
      <c r="X22" s="338"/>
      <c r="Y22" s="338"/>
      <c r="Z22" s="297"/>
      <c r="AA22" s="298"/>
      <c r="AB22" s="299"/>
      <c r="AC22" s="301"/>
      <c r="AD22" s="302"/>
      <c r="AE22" s="303"/>
    </row>
    <row r="23" spans="1:31" ht="11.15" customHeight="1">
      <c r="A23" s="101">
        <v>3</v>
      </c>
      <c r="B23" s="104">
        <f>B17+1</f>
        <v>46254</v>
      </c>
      <c r="C23" s="284" t="s">
        <v>100</v>
      </c>
      <c r="D23" s="106"/>
      <c r="E23" s="285" t="s">
        <v>102</v>
      </c>
      <c r="F23" s="154"/>
      <c r="G23" s="154"/>
      <c r="H23" s="154"/>
      <c r="I23" s="154"/>
      <c r="J23" s="154"/>
      <c r="K23" s="154"/>
      <c r="L23" s="154"/>
      <c r="M23" s="154"/>
      <c r="N23" s="154"/>
      <c r="O23" s="286" t="s">
        <v>104</v>
      </c>
      <c r="P23" s="171"/>
      <c r="Q23" s="171"/>
      <c r="R23" s="160" t="s">
        <v>39</v>
      </c>
      <c r="S23" s="125"/>
      <c r="T23" s="125"/>
      <c r="U23" s="125"/>
      <c r="V23" s="125"/>
      <c r="W23" s="126"/>
      <c r="X23" s="161" t="s">
        <v>28</v>
      </c>
      <c r="Y23" s="161"/>
      <c r="Z23" s="272" t="s">
        <v>15</v>
      </c>
      <c r="AA23" s="273"/>
      <c r="AB23" s="274"/>
      <c r="AC23" s="278">
        <v>0.27083333333333331</v>
      </c>
      <c r="AD23" s="279"/>
      <c r="AE23" s="282"/>
    </row>
    <row r="24" spans="1:31" ht="11.15" customHeight="1">
      <c r="A24" s="102"/>
      <c r="B24" s="105"/>
      <c r="C24" s="107"/>
      <c r="D24" s="107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72"/>
      <c r="P24" s="172"/>
      <c r="Q24" s="172"/>
      <c r="R24" s="127"/>
      <c r="S24" s="128"/>
      <c r="T24" s="128"/>
      <c r="U24" s="128"/>
      <c r="V24" s="128"/>
      <c r="W24" s="129"/>
      <c r="X24" s="162"/>
      <c r="Y24" s="162"/>
      <c r="Z24" s="275"/>
      <c r="AA24" s="276"/>
      <c r="AB24" s="277"/>
      <c r="AC24" s="280"/>
      <c r="AD24" s="281"/>
      <c r="AE24" s="283"/>
    </row>
    <row r="25" spans="1:31" ht="11.15" customHeight="1">
      <c r="A25" s="102"/>
      <c r="B25" s="105"/>
      <c r="C25" s="107"/>
      <c r="D25" s="107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72"/>
      <c r="P25" s="172"/>
      <c r="Q25" s="172"/>
      <c r="R25" s="127"/>
      <c r="S25" s="128"/>
      <c r="T25" s="128"/>
      <c r="U25" s="128"/>
      <c r="V25" s="128"/>
      <c r="W25" s="129"/>
      <c r="X25" s="162"/>
      <c r="Y25" s="162"/>
      <c r="Z25" s="147" t="s">
        <v>81</v>
      </c>
      <c r="AA25" s="148"/>
      <c r="AB25" s="149"/>
      <c r="AC25" s="153">
        <v>0.58333333333333337</v>
      </c>
      <c r="AD25" s="90"/>
      <c r="AE25" s="93" t="s">
        <v>82</v>
      </c>
    </row>
    <row r="26" spans="1:31" ht="11.15" customHeight="1">
      <c r="A26" s="102"/>
      <c r="B26" s="105"/>
      <c r="C26" s="107"/>
      <c r="D26" s="10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72"/>
      <c r="P26" s="172"/>
      <c r="Q26" s="172"/>
      <c r="R26" s="130"/>
      <c r="S26" s="131"/>
      <c r="T26" s="131"/>
      <c r="U26" s="131"/>
      <c r="V26" s="131"/>
      <c r="W26" s="132"/>
      <c r="X26" s="162"/>
      <c r="Y26" s="162"/>
      <c r="Z26" s="147"/>
      <c r="AA26" s="148"/>
      <c r="AB26" s="149"/>
      <c r="AC26" s="100"/>
      <c r="AD26" s="90"/>
      <c r="AE26" s="93"/>
    </row>
    <row r="27" spans="1:31" ht="11.15" customHeight="1">
      <c r="A27" s="102"/>
      <c r="B27" s="74" t="str">
        <f>TEXT(B23,"(aaa)")</f>
        <v>(木)</v>
      </c>
      <c r="C27" s="107"/>
      <c r="D27" s="10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72"/>
      <c r="P27" s="172"/>
      <c r="Q27" s="172"/>
      <c r="R27" s="145" t="s">
        <v>36</v>
      </c>
      <c r="S27" s="78" t="s">
        <v>40</v>
      </c>
      <c r="T27" s="79"/>
      <c r="U27" s="79"/>
      <c r="V27" s="79"/>
      <c r="W27" s="80"/>
      <c r="X27" s="162"/>
      <c r="Y27" s="162"/>
      <c r="Z27" s="147" t="s">
        <v>53</v>
      </c>
      <c r="AA27" s="148"/>
      <c r="AB27" s="149"/>
      <c r="AC27" s="153">
        <v>0.8125</v>
      </c>
      <c r="AD27" s="90"/>
      <c r="AE27" s="93" t="s">
        <v>54</v>
      </c>
    </row>
    <row r="28" spans="1:31" ht="11.15" customHeight="1">
      <c r="A28" s="103"/>
      <c r="B28" s="75"/>
      <c r="C28" s="108"/>
      <c r="D28" s="108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73"/>
      <c r="P28" s="173"/>
      <c r="Q28" s="173"/>
      <c r="R28" s="146"/>
      <c r="S28" s="81"/>
      <c r="T28" s="82"/>
      <c r="U28" s="82"/>
      <c r="V28" s="82"/>
      <c r="W28" s="77"/>
      <c r="X28" s="163"/>
      <c r="Y28" s="163"/>
      <c r="Z28" s="150"/>
      <c r="AA28" s="151"/>
      <c r="AB28" s="152"/>
      <c r="AC28" s="91"/>
      <c r="AD28" s="92"/>
      <c r="AE28" s="94"/>
    </row>
    <row r="29" spans="1:31" ht="11.15" customHeight="1">
      <c r="A29" s="101">
        <v>4</v>
      </c>
      <c r="B29" s="104">
        <f>B23+1</f>
        <v>46255</v>
      </c>
      <c r="C29" s="106" t="s">
        <v>59</v>
      </c>
      <c r="D29" s="106"/>
      <c r="E29" s="154" t="s">
        <v>88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7" t="s">
        <v>68</v>
      </c>
      <c r="P29" s="157"/>
      <c r="Q29" s="157"/>
      <c r="R29" s="160" t="s">
        <v>39</v>
      </c>
      <c r="S29" s="125"/>
      <c r="T29" s="125"/>
      <c r="U29" s="125"/>
      <c r="V29" s="125"/>
      <c r="W29" s="126"/>
      <c r="X29" s="161" t="s">
        <v>28</v>
      </c>
      <c r="Y29" s="161"/>
      <c r="Z29" s="164" t="s">
        <v>15</v>
      </c>
      <c r="AA29" s="165"/>
      <c r="AB29" s="166"/>
      <c r="AC29" s="167">
        <v>0.29166666666666669</v>
      </c>
      <c r="AD29" s="168"/>
      <c r="AE29" s="169"/>
    </row>
    <row r="30" spans="1:31" ht="11.15" customHeight="1">
      <c r="A30" s="102"/>
      <c r="B30" s="105"/>
      <c r="C30" s="107"/>
      <c r="D30" s="107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8"/>
      <c r="P30" s="158"/>
      <c r="Q30" s="158"/>
      <c r="R30" s="127"/>
      <c r="S30" s="128"/>
      <c r="T30" s="128"/>
      <c r="U30" s="128"/>
      <c r="V30" s="128"/>
      <c r="W30" s="129"/>
      <c r="X30" s="162"/>
      <c r="Y30" s="162"/>
      <c r="Z30" s="147"/>
      <c r="AA30" s="148"/>
      <c r="AB30" s="149"/>
      <c r="AC30" s="100"/>
      <c r="AD30" s="90"/>
      <c r="AE30" s="93"/>
    </row>
    <row r="31" spans="1:31" ht="11.15" customHeight="1">
      <c r="A31" s="102"/>
      <c r="B31" s="105"/>
      <c r="C31" s="107"/>
      <c r="D31" s="107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8"/>
      <c r="P31" s="158"/>
      <c r="Q31" s="158"/>
      <c r="R31" s="127"/>
      <c r="S31" s="128"/>
      <c r="T31" s="128"/>
      <c r="U31" s="128"/>
      <c r="V31" s="128"/>
      <c r="W31" s="129"/>
      <c r="X31" s="162"/>
      <c r="Y31" s="162"/>
      <c r="Z31" s="147" t="s">
        <v>73</v>
      </c>
      <c r="AA31" s="148"/>
      <c r="AB31" s="149"/>
      <c r="AC31" s="153">
        <v>0.54166666666666663</v>
      </c>
      <c r="AD31" s="90"/>
      <c r="AE31" s="93" t="s">
        <v>54</v>
      </c>
    </row>
    <row r="32" spans="1:31" ht="11.15" customHeight="1">
      <c r="A32" s="102"/>
      <c r="B32" s="105"/>
      <c r="C32" s="107"/>
      <c r="D32" s="107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8"/>
      <c r="P32" s="158"/>
      <c r="Q32" s="158"/>
      <c r="R32" s="130"/>
      <c r="S32" s="131"/>
      <c r="T32" s="131"/>
      <c r="U32" s="131"/>
      <c r="V32" s="131"/>
      <c r="W32" s="132"/>
      <c r="X32" s="162"/>
      <c r="Y32" s="162"/>
      <c r="Z32" s="147"/>
      <c r="AA32" s="148"/>
      <c r="AB32" s="149"/>
      <c r="AC32" s="100"/>
      <c r="AD32" s="90"/>
      <c r="AE32" s="93"/>
    </row>
    <row r="33" spans="1:31" ht="11.15" customHeight="1">
      <c r="A33" s="102"/>
      <c r="B33" s="74" t="str">
        <f>TEXT(B29,"(aaa)")</f>
        <v>(金)</v>
      </c>
      <c r="C33" s="107"/>
      <c r="D33" s="107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8"/>
      <c r="P33" s="158"/>
      <c r="Q33" s="158"/>
      <c r="R33" s="145" t="s">
        <v>36</v>
      </c>
      <c r="S33" s="78" t="s">
        <v>40</v>
      </c>
      <c r="T33" s="79"/>
      <c r="U33" s="79"/>
      <c r="V33" s="79"/>
      <c r="W33" s="80"/>
      <c r="X33" s="162"/>
      <c r="Y33" s="162"/>
      <c r="Z33" s="147" t="s">
        <v>53</v>
      </c>
      <c r="AA33" s="148"/>
      <c r="AB33" s="149"/>
      <c r="AC33" s="153">
        <v>0.79166666666666663</v>
      </c>
      <c r="AD33" s="90"/>
      <c r="AE33" s="93" t="s">
        <v>54</v>
      </c>
    </row>
    <row r="34" spans="1:31" ht="11.15" customHeight="1">
      <c r="A34" s="103"/>
      <c r="B34" s="75"/>
      <c r="C34" s="108"/>
      <c r="D34" s="108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9"/>
      <c r="P34" s="159"/>
      <c r="Q34" s="159"/>
      <c r="R34" s="146"/>
      <c r="S34" s="81"/>
      <c r="T34" s="82"/>
      <c r="U34" s="82"/>
      <c r="V34" s="82"/>
      <c r="W34" s="77"/>
      <c r="X34" s="163"/>
      <c r="Y34" s="163"/>
      <c r="Z34" s="150"/>
      <c r="AA34" s="151"/>
      <c r="AB34" s="152"/>
      <c r="AC34" s="91"/>
      <c r="AD34" s="92"/>
      <c r="AE34" s="94"/>
    </row>
    <row r="35" spans="1:31" ht="11.15" customHeight="1">
      <c r="A35" s="101">
        <v>5</v>
      </c>
      <c r="B35" s="104">
        <f>B29+1</f>
        <v>46256</v>
      </c>
      <c r="C35" s="106" t="s">
        <v>59</v>
      </c>
      <c r="D35" s="106"/>
      <c r="E35" s="109" t="s">
        <v>50</v>
      </c>
      <c r="F35" s="110"/>
      <c r="G35" s="110"/>
      <c r="H35" s="110"/>
      <c r="I35" s="110"/>
      <c r="J35" s="110"/>
      <c r="K35" s="110"/>
      <c r="L35" s="110"/>
      <c r="M35" s="110"/>
      <c r="N35" s="111"/>
      <c r="O35" s="115"/>
      <c r="P35" s="116"/>
      <c r="Q35" s="117"/>
      <c r="R35" s="124" t="s">
        <v>17</v>
      </c>
      <c r="S35" s="125"/>
      <c r="T35" s="125"/>
      <c r="U35" s="125"/>
      <c r="V35" s="125"/>
      <c r="W35" s="126"/>
      <c r="X35" s="133"/>
      <c r="Y35" s="134"/>
      <c r="Z35" s="138" t="s">
        <v>46</v>
      </c>
      <c r="AA35" s="139"/>
      <c r="AB35" s="140"/>
      <c r="AC35" s="141" t="s">
        <v>47</v>
      </c>
      <c r="AD35" s="142"/>
      <c r="AE35" s="95"/>
    </row>
    <row r="36" spans="1:31" ht="11.15" customHeight="1">
      <c r="A36" s="102"/>
      <c r="B36" s="105"/>
      <c r="C36" s="107"/>
      <c r="D36" s="107"/>
      <c r="E36" s="112"/>
      <c r="F36" s="113"/>
      <c r="G36" s="113"/>
      <c r="H36" s="113"/>
      <c r="I36" s="113"/>
      <c r="J36" s="113"/>
      <c r="K36" s="113"/>
      <c r="L36" s="113"/>
      <c r="M36" s="113"/>
      <c r="N36" s="114"/>
      <c r="O36" s="118"/>
      <c r="P36" s="119"/>
      <c r="Q36" s="120"/>
      <c r="R36" s="127"/>
      <c r="S36" s="128"/>
      <c r="T36" s="128"/>
      <c r="U36" s="128"/>
      <c r="V36" s="128"/>
      <c r="W36" s="129"/>
      <c r="X36" s="135"/>
      <c r="Y36" s="135"/>
      <c r="Z36" s="83"/>
      <c r="AA36" s="84"/>
      <c r="AB36" s="85"/>
      <c r="AC36" s="143"/>
      <c r="AD36" s="144"/>
      <c r="AE36" s="96"/>
    </row>
    <row r="37" spans="1:31" ht="11.15" customHeight="1">
      <c r="A37" s="102"/>
      <c r="B37" s="105"/>
      <c r="C37" s="107"/>
      <c r="D37" s="107"/>
      <c r="E37" s="112"/>
      <c r="F37" s="113"/>
      <c r="G37" s="113"/>
      <c r="H37" s="113"/>
      <c r="I37" s="113"/>
      <c r="J37" s="113"/>
      <c r="K37" s="113"/>
      <c r="L37" s="113"/>
      <c r="M37" s="113"/>
      <c r="N37" s="114"/>
      <c r="O37" s="118"/>
      <c r="P37" s="119"/>
      <c r="Q37" s="120"/>
      <c r="R37" s="127"/>
      <c r="S37" s="128"/>
      <c r="T37" s="128"/>
      <c r="U37" s="128"/>
      <c r="V37" s="128"/>
      <c r="W37" s="129"/>
      <c r="X37" s="136"/>
      <c r="Y37" s="136"/>
      <c r="Z37" s="83" t="s">
        <v>26</v>
      </c>
      <c r="AA37" s="84"/>
      <c r="AB37" s="85"/>
      <c r="AC37" s="89" t="s">
        <v>25</v>
      </c>
      <c r="AD37" s="90"/>
      <c r="AE37" s="93"/>
    </row>
    <row r="38" spans="1:31" ht="11.15" customHeight="1">
      <c r="A38" s="102"/>
      <c r="B38" s="105"/>
      <c r="C38" s="107"/>
      <c r="D38" s="107"/>
      <c r="E38" s="68" t="s">
        <v>32</v>
      </c>
      <c r="F38" s="69"/>
      <c r="G38" s="69"/>
      <c r="H38" s="69"/>
      <c r="I38" s="69"/>
      <c r="J38" s="69"/>
      <c r="K38" s="69"/>
      <c r="L38" s="69"/>
      <c r="M38" s="69"/>
      <c r="N38" s="70"/>
      <c r="O38" s="118"/>
      <c r="P38" s="119"/>
      <c r="Q38" s="120"/>
      <c r="R38" s="130"/>
      <c r="S38" s="131"/>
      <c r="T38" s="131"/>
      <c r="U38" s="131"/>
      <c r="V38" s="131"/>
      <c r="W38" s="132"/>
      <c r="X38" s="136"/>
      <c r="Y38" s="136"/>
      <c r="Z38" s="83"/>
      <c r="AA38" s="84"/>
      <c r="AB38" s="85"/>
      <c r="AC38" s="100"/>
      <c r="AD38" s="90"/>
      <c r="AE38" s="93"/>
    </row>
    <row r="39" spans="1:31" ht="11.15" customHeight="1">
      <c r="A39" s="102"/>
      <c r="B39" s="74" t="str">
        <f>TEXT(B35,"(aaa)")</f>
        <v>(土)</v>
      </c>
      <c r="C39" s="107"/>
      <c r="D39" s="107"/>
      <c r="E39" s="68"/>
      <c r="F39" s="69"/>
      <c r="G39" s="69"/>
      <c r="H39" s="69"/>
      <c r="I39" s="69"/>
      <c r="J39" s="69"/>
      <c r="K39" s="69"/>
      <c r="L39" s="69"/>
      <c r="M39" s="69"/>
      <c r="N39" s="70"/>
      <c r="O39" s="118"/>
      <c r="P39" s="119"/>
      <c r="Q39" s="120"/>
      <c r="R39" s="76"/>
      <c r="S39" s="78"/>
      <c r="T39" s="79"/>
      <c r="U39" s="79"/>
      <c r="V39" s="79"/>
      <c r="W39" s="80"/>
      <c r="X39" s="136"/>
      <c r="Y39" s="136"/>
      <c r="Z39" s="83" t="s">
        <v>27</v>
      </c>
      <c r="AA39" s="84"/>
      <c r="AB39" s="85"/>
      <c r="AC39" s="89" t="s">
        <v>25</v>
      </c>
      <c r="AD39" s="90"/>
      <c r="AE39" s="93"/>
    </row>
    <row r="40" spans="1:31" ht="11.15" customHeight="1">
      <c r="A40" s="103"/>
      <c r="B40" s="75"/>
      <c r="C40" s="108"/>
      <c r="D40" s="108"/>
      <c r="E40" s="71"/>
      <c r="F40" s="72"/>
      <c r="G40" s="72"/>
      <c r="H40" s="72"/>
      <c r="I40" s="72"/>
      <c r="J40" s="72"/>
      <c r="K40" s="72"/>
      <c r="L40" s="72"/>
      <c r="M40" s="72"/>
      <c r="N40" s="73"/>
      <c r="O40" s="121"/>
      <c r="P40" s="122"/>
      <c r="Q40" s="123"/>
      <c r="R40" s="77"/>
      <c r="S40" s="81"/>
      <c r="T40" s="82"/>
      <c r="U40" s="82"/>
      <c r="V40" s="82"/>
      <c r="W40" s="77"/>
      <c r="X40" s="137"/>
      <c r="Y40" s="137"/>
      <c r="Z40" s="86"/>
      <c r="AA40" s="87"/>
      <c r="AB40" s="88"/>
      <c r="AC40" s="91"/>
      <c r="AD40" s="92"/>
      <c r="AE40" s="94"/>
    </row>
    <row r="41" spans="1:31" ht="15" customHeight="1">
      <c r="A41" s="54" t="s">
        <v>31</v>
      </c>
      <c r="B41" s="15"/>
      <c r="C41" s="6"/>
      <c r="D41" s="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"/>
      <c r="P41" s="2"/>
      <c r="Q41" s="2"/>
      <c r="R41" s="17"/>
      <c r="S41" s="18"/>
      <c r="T41" s="18"/>
      <c r="U41" s="57" t="s">
        <v>60</v>
      </c>
      <c r="V41" s="58"/>
      <c r="W41" s="58"/>
      <c r="X41" s="57"/>
      <c r="Y41" s="59"/>
      <c r="Z41" s="60"/>
      <c r="AA41" s="60"/>
      <c r="AB41" s="60"/>
      <c r="AC41" s="61"/>
      <c r="AD41" s="61"/>
      <c r="AE41" s="62"/>
    </row>
    <row r="42" spans="1:31" ht="15" customHeight="1">
      <c r="A42" s="55" t="s">
        <v>23</v>
      </c>
      <c r="B42" s="15"/>
      <c r="C42" s="6"/>
      <c r="D42" s="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"/>
      <c r="P42" s="2"/>
      <c r="Q42" s="2"/>
      <c r="R42" s="17"/>
      <c r="S42" s="18"/>
      <c r="T42" s="18"/>
      <c r="U42" s="57" t="s">
        <v>61</v>
      </c>
      <c r="V42" s="58"/>
      <c r="W42" s="58"/>
      <c r="X42" s="57"/>
      <c r="Y42" s="59"/>
      <c r="Z42" s="63"/>
      <c r="AA42" s="60"/>
      <c r="AB42" s="60"/>
      <c r="AC42" s="61"/>
      <c r="AD42" s="61"/>
      <c r="AE42" s="62"/>
    </row>
    <row r="43" spans="1:31" ht="15" customHeight="1">
      <c r="A43" s="55" t="s">
        <v>24</v>
      </c>
      <c r="B43" s="15"/>
      <c r="C43" s="6"/>
      <c r="D43" s="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"/>
      <c r="P43" s="2"/>
      <c r="Q43" s="2"/>
      <c r="R43" s="17"/>
      <c r="S43" s="18"/>
      <c r="T43" s="18"/>
      <c r="U43" s="57"/>
      <c r="V43" s="64"/>
      <c r="W43" s="64"/>
      <c r="X43" s="57"/>
      <c r="Y43" s="64"/>
      <c r="Z43" s="64"/>
      <c r="AA43" s="64"/>
      <c r="AB43" s="64"/>
      <c r="AC43" s="64"/>
      <c r="AD43" s="64"/>
      <c r="AE43" s="62"/>
    </row>
    <row r="44" spans="1:31" ht="15" customHeight="1">
      <c r="A44" s="24" t="s">
        <v>29</v>
      </c>
      <c r="B44" s="31"/>
      <c r="C44" s="6"/>
      <c r="D44" s="6"/>
      <c r="E44" s="16"/>
      <c r="F44" s="16"/>
      <c r="G44" s="16"/>
      <c r="H44" s="16"/>
      <c r="I44" s="16"/>
      <c r="J44" s="16"/>
      <c r="K44" s="2"/>
      <c r="L44" s="32"/>
      <c r="M44" s="16"/>
      <c r="N44" s="16"/>
      <c r="O44" s="2"/>
      <c r="P44" s="2"/>
      <c r="Q44" s="2"/>
      <c r="R44" s="17"/>
      <c r="S44" s="18"/>
      <c r="T44" s="18"/>
      <c r="U44" s="25" t="s">
        <v>66</v>
      </c>
      <c r="V44" s="18"/>
      <c r="W44" s="30"/>
      <c r="X44" s="30"/>
      <c r="Y44" s="30"/>
      <c r="Z44" s="30"/>
      <c r="AA44" s="30"/>
      <c r="AB44" s="30"/>
      <c r="AC44" s="30"/>
      <c r="AD44" s="30"/>
      <c r="AE44" s="29"/>
    </row>
    <row r="45" spans="1:31" ht="15" customHeight="1">
      <c r="A45" s="51" t="s">
        <v>34</v>
      </c>
      <c r="B45" s="31"/>
      <c r="C45" s="56" t="s">
        <v>69</v>
      </c>
      <c r="D45" s="11"/>
      <c r="E45" s="34"/>
      <c r="F45" s="34"/>
      <c r="G45" s="35"/>
      <c r="J45" s="32" t="s">
        <v>70</v>
      </c>
      <c r="K45" s="50"/>
      <c r="L45" s="36"/>
      <c r="M45" s="2"/>
      <c r="N45" s="17"/>
      <c r="O45" s="18"/>
      <c r="P45" s="39"/>
      <c r="Q45" s="2"/>
      <c r="R45" s="39"/>
      <c r="S45" s="18"/>
      <c r="T45" s="18"/>
      <c r="U45" s="37" t="s">
        <v>67</v>
      </c>
      <c r="V45" s="18"/>
      <c r="W45" s="30"/>
      <c r="X45" s="30"/>
      <c r="Y45" s="30"/>
      <c r="Z45" s="30"/>
      <c r="AA45" s="30"/>
      <c r="AB45" s="30"/>
      <c r="AC45" s="30"/>
      <c r="AD45" s="30"/>
      <c r="AE45" s="38"/>
    </row>
    <row r="46" spans="1:31" ht="15" customHeight="1">
      <c r="A46" s="51" t="s">
        <v>33</v>
      </c>
      <c r="B46" s="31"/>
      <c r="C46" s="39"/>
      <c r="D46" s="6"/>
      <c r="E46" s="16"/>
      <c r="F46" s="16"/>
      <c r="G46" s="16"/>
      <c r="H46" s="32"/>
      <c r="I46" s="16"/>
      <c r="J46" s="16"/>
      <c r="K46" s="16"/>
      <c r="L46" s="16"/>
      <c r="M46" s="16"/>
      <c r="N46" s="16"/>
      <c r="O46" s="2"/>
      <c r="P46" s="40"/>
      <c r="Q46" s="40"/>
      <c r="R46" s="41"/>
      <c r="S46" s="18"/>
      <c r="T46" s="18"/>
      <c r="U46" s="25"/>
      <c r="V46" s="30"/>
      <c r="W46" s="42"/>
      <c r="X46" s="42"/>
      <c r="Y46" s="42"/>
      <c r="Z46" s="42"/>
      <c r="AA46" s="42"/>
      <c r="AB46" s="42"/>
      <c r="AC46" s="42"/>
      <c r="AD46" s="42"/>
      <c r="AE46" s="38"/>
    </row>
    <row r="47" spans="1:31" ht="15" customHeight="1">
      <c r="A47" s="33"/>
      <c r="B47" s="43"/>
      <c r="C47" s="7"/>
      <c r="D47" s="7"/>
      <c r="E47" s="16"/>
      <c r="F47" s="16"/>
      <c r="G47" s="16"/>
      <c r="H47" s="16"/>
      <c r="I47" s="16"/>
      <c r="J47" s="36"/>
      <c r="K47" s="36"/>
      <c r="L47" s="36"/>
      <c r="M47" s="36"/>
      <c r="N47" s="36"/>
      <c r="O47" s="40"/>
      <c r="P47" s="40"/>
      <c r="Q47" s="40"/>
      <c r="R47" s="41"/>
      <c r="S47" s="18"/>
      <c r="T47" s="18"/>
      <c r="U47" s="52" t="s">
        <v>48</v>
      </c>
      <c r="V47" s="18"/>
      <c r="W47" s="30"/>
      <c r="X47" s="30"/>
      <c r="Y47" s="30"/>
      <c r="Z47" s="30"/>
      <c r="AA47" s="30"/>
      <c r="AB47" s="30"/>
      <c r="AC47" s="30"/>
      <c r="AD47" s="30"/>
      <c r="AE47" s="44"/>
    </row>
    <row r="48" spans="1:31" ht="15" customHeight="1">
      <c r="A48" s="24" t="s">
        <v>30</v>
      </c>
      <c r="B48" s="43"/>
      <c r="C48" s="30"/>
      <c r="D48" s="30"/>
      <c r="E48" s="30"/>
      <c r="F48" s="30"/>
      <c r="G48" s="30"/>
      <c r="H48" s="30"/>
      <c r="I48" s="30"/>
      <c r="J48" s="36"/>
      <c r="K48" s="36"/>
      <c r="L48" s="36"/>
      <c r="M48" s="36"/>
      <c r="N48" s="36"/>
      <c r="O48" s="40"/>
      <c r="P48" s="40"/>
      <c r="Q48" s="40"/>
      <c r="R48" s="41"/>
      <c r="S48" s="18"/>
      <c r="T48" s="18"/>
      <c r="U48" s="52" t="s">
        <v>49</v>
      </c>
      <c r="V48" s="18"/>
      <c r="W48" s="30"/>
      <c r="X48" s="30"/>
      <c r="Y48" s="30"/>
      <c r="Z48" s="30"/>
      <c r="AA48" s="30"/>
      <c r="AB48" s="30"/>
      <c r="AC48" s="30"/>
      <c r="AD48" s="30"/>
      <c r="AE48" s="44"/>
    </row>
    <row r="49" spans="1:31" ht="15" customHeight="1">
      <c r="A49" s="45" t="s">
        <v>35</v>
      </c>
      <c r="B49" s="46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12"/>
      <c r="P49" s="12"/>
      <c r="Q49" s="12"/>
      <c r="R49" s="47"/>
      <c r="S49" s="48"/>
      <c r="T49" s="48"/>
      <c r="U49" s="49"/>
      <c r="V49" s="48"/>
      <c r="W49" s="8"/>
      <c r="X49" s="8"/>
      <c r="Y49" s="8"/>
      <c r="Z49" s="8"/>
      <c r="AA49" s="8"/>
      <c r="AB49" s="8"/>
      <c r="AC49" s="8"/>
      <c r="AD49" s="8"/>
      <c r="AE49" s="1" t="s">
        <v>16</v>
      </c>
    </row>
  </sheetData>
  <mergeCells count="117">
    <mergeCell ref="A1:F1"/>
    <mergeCell ref="G1:N1"/>
    <mergeCell ref="O1:Q1"/>
    <mergeCell ref="R1:Y1"/>
    <mergeCell ref="Z1:AE1"/>
    <mergeCell ref="A2:F9"/>
    <mergeCell ref="G2:N4"/>
    <mergeCell ref="O2:Q9"/>
    <mergeCell ref="R2:R5"/>
    <mergeCell ref="S2:Y5"/>
    <mergeCell ref="A10:B10"/>
    <mergeCell ref="C10:D10"/>
    <mergeCell ref="E10:N10"/>
    <mergeCell ref="O10:Q10"/>
    <mergeCell ref="R10:Y10"/>
    <mergeCell ref="Z10:AE10"/>
    <mergeCell ref="Z2:AE6"/>
    <mergeCell ref="G5:N9"/>
    <mergeCell ref="R6:R9"/>
    <mergeCell ref="S6:Y9"/>
    <mergeCell ref="Z7:AE9"/>
    <mergeCell ref="A11:A16"/>
    <mergeCell ref="B11:B14"/>
    <mergeCell ref="C11:D16"/>
    <mergeCell ref="E11:N16"/>
    <mergeCell ref="O11:Q16"/>
    <mergeCell ref="R11:W14"/>
    <mergeCell ref="B15:B16"/>
    <mergeCell ref="R15:R16"/>
    <mergeCell ref="S15:W16"/>
    <mergeCell ref="X17:Y22"/>
    <mergeCell ref="Z13:AB14"/>
    <mergeCell ref="AC13:AD14"/>
    <mergeCell ref="AE13:AE14"/>
    <mergeCell ref="X11:Y16"/>
    <mergeCell ref="Z11:AB12"/>
    <mergeCell ref="AC11:AD12"/>
    <mergeCell ref="AE11:AE12"/>
    <mergeCell ref="Z15:AB16"/>
    <mergeCell ref="AC15:AD16"/>
    <mergeCell ref="AE15:AE16"/>
    <mergeCell ref="Z21:AB22"/>
    <mergeCell ref="AC21:AD22"/>
    <mergeCell ref="AE21:AE22"/>
    <mergeCell ref="Z19:AB20"/>
    <mergeCell ref="AC19:AD20"/>
    <mergeCell ref="AE19:AE20"/>
    <mergeCell ref="Z17:AB18"/>
    <mergeCell ref="AC17:AD18"/>
    <mergeCell ref="AE17:AE18"/>
    <mergeCell ref="A23:A28"/>
    <mergeCell ref="B23:B26"/>
    <mergeCell ref="C23:D28"/>
    <mergeCell ref="E23:N28"/>
    <mergeCell ref="O23:Q28"/>
    <mergeCell ref="R23:W26"/>
    <mergeCell ref="B21:B22"/>
    <mergeCell ref="R21:R22"/>
    <mergeCell ref="S21:W22"/>
    <mergeCell ref="A17:A22"/>
    <mergeCell ref="B17:B20"/>
    <mergeCell ref="C17:D22"/>
    <mergeCell ref="E17:N22"/>
    <mergeCell ref="O17:Q22"/>
    <mergeCell ref="R17:W20"/>
    <mergeCell ref="B27:B28"/>
    <mergeCell ref="R27:R28"/>
    <mergeCell ref="S27:W28"/>
    <mergeCell ref="Z27:AB28"/>
    <mergeCell ref="AC27:AD28"/>
    <mergeCell ref="AE27:AE28"/>
    <mergeCell ref="Z25:AB26"/>
    <mergeCell ref="AC25:AD26"/>
    <mergeCell ref="AE25:AE26"/>
    <mergeCell ref="X23:Y28"/>
    <mergeCell ref="Z23:AB24"/>
    <mergeCell ref="AC23:AD24"/>
    <mergeCell ref="AE23:AE24"/>
    <mergeCell ref="AC29:AD30"/>
    <mergeCell ref="AE29:AE30"/>
    <mergeCell ref="A29:A34"/>
    <mergeCell ref="B29:B32"/>
    <mergeCell ref="C29:D34"/>
    <mergeCell ref="E29:N34"/>
    <mergeCell ref="O29:Q34"/>
    <mergeCell ref="R29:W32"/>
    <mergeCell ref="X29:Y34"/>
    <mergeCell ref="Z29:AB30"/>
    <mergeCell ref="B33:B34"/>
    <mergeCell ref="R33:R34"/>
    <mergeCell ref="S33:W34"/>
    <mergeCell ref="Z33:AB34"/>
    <mergeCell ref="AC33:AD34"/>
    <mergeCell ref="AE33:AE34"/>
    <mergeCell ref="Z31:AB32"/>
    <mergeCell ref="AC31:AD32"/>
    <mergeCell ref="AE31:AE32"/>
    <mergeCell ref="A35:A40"/>
    <mergeCell ref="B35:B38"/>
    <mergeCell ref="C35:D40"/>
    <mergeCell ref="E35:N37"/>
    <mergeCell ref="O35:Q40"/>
    <mergeCell ref="R35:W38"/>
    <mergeCell ref="X35:Y40"/>
    <mergeCell ref="Z35:AB36"/>
    <mergeCell ref="AC35:AD36"/>
    <mergeCell ref="E38:N40"/>
    <mergeCell ref="B39:B40"/>
    <mergeCell ref="R39:R40"/>
    <mergeCell ref="S39:W40"/>
    <mergeCell ref="Z39:AB40"/>
    <mergeCell ref="AC39:AD40"/>
    <mergeCell ref="AE39:AE40"/>
    <mergeCell ref="AE35:AE36"/>
    <mergeCell ref="Z37:AB38"/>
    <mergeCell ref="AC37:AD38"/>
    <mergeCell ref="AE37:AE38"/>
  </mergeCells>
  <phoneticPr fontId="3"/>
  <pageMargins left="0.19685039370078741" right="0.19685039370078741" top="0.19685039370078741" bottom="0.19685039370078741" header="0" footer="0"/>
  <pageSetup paperSize="9" scale="63" orientation="landscape" r:id="rId1"/>
  <headerFooter>
    <oddFooter>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7550-1395-4C63-8E66-FBE3E74153A8}">
  <sheetPr>
    <pageSetUpPr fitToPage="1"/>
  </sheetPr>
  <dimension ref="A1:AE49"/>
  <sheetViews>
    <sheetView zoomScale="56" zoomScaleNormal="56" workbookViewId="0">
      <selection activeCell="E29" sqref="E29:N34"/>
    </sheetView>
  </sheetViews>
  <sheetFormatPr defaultRowHeight="18"/>
  <cols>
    <col min="1" max="1" width="3.58203125" customWidth="1"/>
    <col min="2" max="2" width="8.58203125" customWidth="1"/>
    <col min="3" max="3" width="6.58203125" customWidth="1"/>
    <col min="4" max="4" width="2.58203125" customWidth="1"/>
    <col min="5" max="14" width="7.08203125" customWidth="1"/>
    <col min="15" max="17" width="5.58203125" customWidth="1"/>
    <col min="18" max="18" width="6.58203125" customWidth="1"/>
    <col min="19" max="23" width="5.58203125" customWidth="1"/>
    <col min="24" max="25" width="6.58203125" customWidth="1"/>
    <col min="26" max="28" width="7.58203125" customWidth="1"/>
    <col min="29" max="30" width="3.58203125" customWidth="1"/>
    <col min="31" max="31" width="21.58203125" customWidth="1"/>
  </cols>
  <sheetData>
    <row r="1" spans="1:31" ht="18" customHeight="1">
      <c r="A1" s="250" t="s">
        <v>0</v>
      </c>
      <c r="B1" s="251"/>
      <c r="C1" s="251"/>
      <c r="D1" s="251"/>
      <c r="E1" s="251"/>
      <c r="F1" s="252"/>
      <c r="G1" s="253" t="s">
        <v>1</v>
      </c>
      <c r="H1" s="251"/>
      <c r="I1" s="251"/>
      <c r="J1" s="251"/>
      <c r="K1" s="251"/>
      <c r="L1" s="251"/>
      <c r="M1" s="251"/>
      <c r="N1" s="251"/>
      <c r="O1" s="250" t="s">
        <v>2</v>
      </c>
      <c r="P1" s="251"/>
      <c r="Q1" s="252"/>
      <c r="R1" s="216" t="s">
        <v>3</v>
      </c>
      <c r="S1" s="216"/>
      <c r="T1" s="216"/>
      <c r="U1" s="216"/>
      <c r="V1" s="216"/>
      <c r="W1" s="216"/>
      <c r="X1" s="216"/>
      <c r="Y1" s="216"/>
      <c r="Z1" s="216" t="s">
        <v>4</v>
      </c>
      <c r="AA1" s="216"/>
      <c r="AB1" s="216"/>
      <c r="AC1" s="216"/>
      <c r="AD1" s="216"/>
      <c r="AE1" s="216"/>
    </row>
    <row r="2" spans="1:31" ht="8.15" customHeight="1">
      <c r="A2" s="254" t="s">
        <v>85</v>
      </c>
      <c r="B2" s="255"/>
      <c r="C2" s="255"/>
      <c r="D2" s="255"/>
      <c r="E2" s="255"/>
      <c r="F2" s="256"/>
      <c r="G2" s="257" t="s">
        <v>5</v>
      </c>
      <c r="H2" s="258"/>
      <c r="I2" s="258"/>
      <c r="J2" s="258"/>
      <c r="K2" s="258"/>
      <c r="L2" s="258"/>
      <c r="M2" s="258"/>
      <c r="N2" s="259"/>
      <c r="O2" s="263" t="s">
        <v>87</v>
      </c>
      <c r="P2" s="264"/>
      <c r="Q2" s="265"/>
      <c r="R2" s="232" t="s">
        <v>6</v>
      </c>
      <c r="S2" s="235" t="s">
        <v>44</v>
      </c>
      <c r="T2" s="236"/>
      <c r="U2" s="236"/>
      <c r="V2" s="236"/>
      <c r="W2" s="236"/>
      <c r="X2" s="236"/>
      <c r="Y2" s="237"/>
      <c r="Z2" s="217" t="s">
        <v>51</v>
      </c>
      <c r="AA2" s="218"/>
      <c r="AB2" s="218"/>
      <c r="AC2" s="218"/>
      <c r="AD2" s="218"/>
      <c r="AE2" s="219"/>
    </row>
    <row r="3" spans="1:31" ht="8.15" customHeight="1">
      <c r="A3" s="254"/>
      <c r="B3" s="255"/>
      <c r="C3" s="255"/>
      <c r="D3" s="255"/>
      <c r="E3" s="255"/>
      <c r="F3" s="256"/>
      <c r="G3" s="260"/>
      <c r="H3" s="261"/>
      <c r="I3" s="261"/>
      <c r="J3" s="261"/>
      <c r="K3" s="261"/>
      <c r="L3" s="261"/>
      <c r="M3" s="261"/>
      <c r="N3" s="262"/>
      <c r="O3" s="266"/>
      <c r="P3" s="267"/>
      <c r="Q3" s="268"/>
      <c r="R3" s="233"/>
      <c r="S3" s="238"/>
      <c r="T3" s="238"/>
      <c r="U3" s="238"/>
      <c r="V3" s="238"/>
      <c r="W3" s="238"/>
      <c r="X3" s="238"/>
      <c r="Y3" s="239"/>
      <c r="Z3" s="220"/>
      <c r="AA3" s="221"/>
      <c r="AB3" s="221"/>
      <c r="AC3" s="221"/>
      <c r="AD3" s="221"/>
      <c r="AE3" s="222"/>
    </row>
    <row r="4" spans="1:31" ht="8.15" customHeight="1">
      <c r="A4" s="254"/>
      <c r="B4" s="255"/>
      <c r="C4" s="255"/>
      <c r="D4" s="255"/>
      <c r="E4" s="255"/>
      <c r="F4" s="256"/>
      <c r="G4" s="260"/>
      <c r="H4" s="261"/>
      <c r="I4" s="261"/>
      <c r="J4" s="261"/>
      <c r="K4" s="261"/>
      <c r="L4" s="261"/>
      <c r="M4" s="261"/>
      <c r="N4" s="262"/>
      <c r="O4" s="266"/>
      <c r="P4" s="267"/>
      <c r="Q4" s="268"/>
      <c r="R4" s="233"/>
      <c r="S4" s="238"/>
      <c r="T4" s="238"/>
      <c r="U4" s="238"/>
      <c r="V4" s="238"/>
      <c r="W4" s="238"/>
      <c r="X4" s="238"/>
      <c r="Y4" s="239"/>
      <c r="Z4" s="220"/>
      <c r="AA4" s="221"/>
      <c r="AB4" s="221"/>
      <c r="AC4" s="221"/>
      <c r="AD4" s="221"/>
      <c r="AE4" s="222"/>
    </row>
    <row r="5" spans="1:31" ht="8.15" customHeight="1">
      <c r="A5" s="254"/>
      <c r="B5" s="255"/>
      <c r="C5" s="255"/>
      <c r="D5" s="255"/>
      <c r="E5" s="255"/>
      <c r="F5" s="256"/>
      <c r="G5" s="226" t="s">
        <v>38</v>
      </c>
      <c r="H5" s="227"/>
      <c r="I5" s="227"/>
      <c r="J5" s="227"/>
      <c r="K5" s="227"/>
      <c r="L5" s="227"/>
      <c r="M5" s="227"/>
      <c r="N5" s="228"/>
      <c r="O5" s="266"/>
      <c r="P5" s="267"/>
      <c r="Q5" s="268"/>
      <c r="R5" s="234"/>
      <c r="S5" s="240"/>
      <c r="T5" s="240"/>
      <c r="U5" s="240"/>
      <c r="V5" s="240"/>
      <c r="W5" s="240"/>
      <c r="X5" s="240"/>
      <c r="Y5" s="241"/>
      <c r="Z5" s="220"/>
      <c r="AA5" s="221"/>
      <c r="AB5" s="221"/>
      <c r="AC5" s="221"/>
      <c r="AD5" s="221"/>
      <c r="AE5" s="222"/>
    </row>
    <row r="6" spans="1:31" ht="8.15" customHeight="1">
      <c r="A6" s="254"/>
      <c r="B6" s="255"/>
      <c r="C6" s="255"/>
      <c r="D6" s="255"/>
      <c r="E6" s="255"/>
      <c r="F6" s="256"/>
      <c r="G6" s="226"/>
      <c r="H6" s="227"/>
      <c r="I6" s="227"/>
      <c r="J6" s="227"/>
      <c r="K6" s="227"/>
      <c r="L6" s="227"/>
      <c r="M6" s="227"/>
      <c r="N6" s="228"/>
      <c r="O6" s="266"/>
      <c r="P6" s="267"/>
      <c r="Q6" s="268"/>
      <c r="R6" s="232" t="s">
        <v>7</v>
      </c>
      <c r="S6" s="235" t="s">
        <v>45</v>
      </c>
      <c r="T6" s="236"/>
      <c r="U6" s="236"/>
      <c r="V6" s="236"/>
      <c r="W6" s="236"/>
      <c r="X6" s="236"/>
      <c r="Y6" s="237"/>
      <c r="Z6" s="223"/>
      <c r="AA6" s="224"/>
      <c r="AB6" s="224"/>
      <c r="AC6" s="224"/>
      <c r="AD6" s="224"/>
      <c r="AE6" s="225"/>
    </row>
    <row r="7" spans="1:31" ht="8.15" customHeight="1">
      <c r="A7" s="254"/>
      <c r="B7" s="255"/>
      <c r="C7" s="255"/>
      <c r="D7" s="255"/>
      <c r="E7" s="255"/>
      <c r="F7" s="256"/>
      <c r="G7" s="226"/>
      <c r="H7" s="227"/>
      <c r="I7" s="227"/>
      <c r="J7" s="227"/>
      <c r="K7" s="227"/>
      <c r="L7" s="227"/>
      <c r="M7" s="227"/>
      <c r="N7" s="228"/>
      <c r="O7" s="266"/>
      <c r="P7" s="267"/>
      <c r="Q7" s="268"/>
      <c r="R7" s="233"/>
      <c r="S7" s="238"/>
      <c r="T7" s="238"/>
      <c r="U7" s="238"/>
      <c r="V7" s="238"/>
      <c r="W7" s="238"/>
      <c r="X7" s="238"/>
      <c r="Y7" s="239"/>
      <c r="Z7" s="242" t="s">
        <v>52</v>
      </c>
      <c r="AA7" s="243"/>
      <c r="AB7" s="243"/>
      <c r="AC7" s="243"/>
      <c r="AD7" s="243"/>
      <c r="AE7" s="244"/>
    </row>
    <row r="8" spans="1:31" ht="8.15" customHeight="1">
      <c r="A8" s="254"/>
      <c r="B8" s="255"/>
      <c r="C8" s="255"/>
      <c r="D8" s="255"/>
      <c r="E8" s="255"/>
      <c r="F8" s="256"/>
      <c r="G8" s="226"/>
      <c r="H8" s="227"/>
      <c r="I8" s="227"/>
      <c r="J8" s="227"/>
      <c r="K8" s="227"/>
      <c r="L8" s="227"/>
      <c r="M8" s="227"/>
      <c r="N8" s="228"/>
      <c r="O8" s="266"/>
      <c r="P8" s="267"/>
      <c r="Q8" s="268"/>
      <c r="R8" s="233"/>
      <c r="S8" s="238"/>
      <c r="T8" s="238"/>
      <c r="U8" s="238"/>
      <c r="V8" s="238"/>
      <c r="W8" s="238"/>
      <c r="X8" s="238"/>
      <c r="Y8" s="239"/>
      <c r="Z8" s="220"/>
      <c r="AA8" s="221"/>
      <c r="AB8" s="221"/>
      <c r="AC8" s="221"/>
      <c r="AD8" s="221"/>
      <c r="AE8" s="222"/>
    </row>
    <row r="9" spans="1:31" ht="8.15" customHeight="1">
      <c r="A9" s="254"/>
      <c r="B9" s="255"/>
      <c r="C9" s="255"/>
      <c r="D9" s="255"/>
      <c r="E9" s="255"/>
      <c r="F9" s="256"/>
      <c r="G9" s="229"/>
      <c r="H9" s="230"/>
      <c r="I9" s="230"/>
      <c r="J9" s="230"/>
      <c r="K9" s="230"/>
      <c r="L9" s="230"/>
      <c r="M9" s="230"/>
      <c r="N9" s="231"/>
      <c r="O9" s="269"/>
      <c r="P9" s="270"/>
      <c r="Q9" s="271"/>
      <c r="R9" s="234"/>
      <c r="S9" s="240"/>
      <c r="T9" s="240"/>
      <c r="U9" s="240"/>
      <c r="V9" s="240"/>
      <c r="W9" s="240"/>
      <c r="X9" s="240"/>
      <c r="Y9" s="241"/>
      <c r="Z9" s="245"/>
      <c r="AA9" s="246"/>
      <c r="AB9" s="246"/>
      <c r="AC9" s="246"/>
      <c r="AD9" s="246"/>
      <c r="AE9" s="247"/>
    </row>
    <row r="10" spans="1:31">
      <c r="A10" s="206" t="s">
        <v>8</v>
      </c>
      <c r="B10" s="207"/>
      <c r="C10" s="208" t="s">
        <v>9</v>
      </c>
      <c r="D10" s="208"/>
      <c r="E10" s="209" t="s">
        <v>10</v>
      </c>
      <c r="F10" s="209"/>
      <c r="G10" s="210"/>
      <c r="H10" s="210"/>
      <c r="I10" s="210"/>
      <c r="J10" s="210"/>
      <c r="K10" s="210"/>
      <c r="L10" s="210"/>
      <c r="M10" s="210"/>
      <c r="N10" s="211"/>
      <c r="O10" s="212" t="s">
        <v>11</v>
      </c>
      <c r="P10" s="213"/>
      <c r="Q10" s="214"/>
      <c r="R10" s="215" t="s">
        <v>12</v>
      </c>
      <c r="S10" s="215"/>
      <c r="T10" s="215"/>
      <c r="U10" s="215"/>
      <c r="V10" s="215"/>
      <c r="W10" s="215"/>
      <c r="X10" s="215"/>
      <c r="Y10" s="207"/>
      <c r="Z10" s="216" t="s">
        <v>13</v>
      </c>
      <c r="AA10" s="216"/>
      <c r="AB10" s="216"/>
      <c r="AC10" s="216"/>
      <c r="AD10" s="216"/>
      <c r="AE10" s="216"/>
    </row>
    <row r="11" spans="1:31" ht="11.15" customHeight="1">
      <c r="A11" s="305">
        <v>1</v>
      </c>
      <c r="B11" s="309">
        <v>46252</v>
      </c>
      <c r="C11" s="284" t="s">
        <v>43</v>
      </c>
      <c r="D11" s="284"/>
      <c r="E11" s="346" t="s">
        <v>95</v>
      </c>
      <c r="F11" s="313"/>
      <c r="G11" s="313"/>
      <c r="H11" s="313"/>
      <c r="I11" s="313"/>
      <c r="J11" s="313"/>
      <c r="K11" s="313"/>
      <c r="L11" s="313"/>
      <c r="M11" s="313"/>
      <c r="N11" s="314"/>
      <c r="O11" s="347"/>
      <c r="P11" s="348"/>
      <c r="Q11" s="349"/>
      <c r="R11" s="327" t="s">
        <v>41</v>
      </c>
      <c r="S11" s="328"/>
      <c r="T11" s="328"/>
      <c r="U11" s="328"/>
      <c r="V11" s="328"/>
      <c r="W11" s="329"/>
      <c r="X11" s="336" t="s">
        <v>96</v>
      </c>
      <c r="Y11" s="336"/>
      <c r="Z11" s="340" t="s">
        <v>14</v>
      </c>
      <c r="AA11" s="341"/>
      <c r="AB11" s="342"/>
      <c r="AC11" s="343" t="s">
        <v>25</v>
      </c>
      <c r="AD11" s="344"/>
      <c r="AE11" s="345"/>
    </row>
    <row r="12" spans="1:31" ht="11.15" customHeight="1">
      <c r="A12" s="306"/>
      <c r="B12" s="309"/>
      <c r="C12" s="310"/>
      <c r="D12" s="310"/>
      <c r="E12" s="315"/>
      <c r="F12" s="316"/>
      <c r="G12" s="316"/>
      <c r="H12" s="316"/>
      <c r="I12" s="316"/>
      <c r="J12" s="316"/>
      <c r="K12" s="316"/>
      <c r="L12" s="316"/>
      <c r="M12" s="316"/>
      <c r="N12" s="317"/>
      <c r="O12" s="350"/>
      <c r="P12" s="351"/>
      <c r="Q12" s="352"/>
      <c r="R12" s="330"/>
      <c r="S12" s="331"/>
      <c r="T12" s="331"/>
      <c r="U12" s="331"/>
      <c r="V12" s="331"/>
      <c r="W12" s="332"/>
      <c r="X12" s="337"/>
      <c r="Y12" s="337"/>
      <c r="Z12" s="275"/>
      <c r="AA12" s="276"/>
      <c r="AB12" s="277"/>
      <c r="AC12" s="280"/>
      <c r="AD12" s="281"/>
      <c r="AE12" s="283"/>
    </row>
    <row r="13" spans="1:31" ht="11.15" customHeight="1">
      <c r="A13" s="306"/>
      <c r="B13" s="309"/>
      <c r="C13" s="310"/>
      <c r="D13" s="310"/>
      <c r="E13" s="315"/>
      <c r="F13" s="316"/>
      <c r="G13" s="316"/>
      <c r="H13" s="316"/>
      <c r="I13" s="316"/>
      <c r="J13" s="316"/>
      <c r="K13" s="316"/>
      <c r="L13" s="316"/>
      <c r="M13" s="316"/>
      <c r="N13" s="317"/>
      <c r="O13" s="350"/>
      <c r="P13" s="351"/>
      <c r="Q13" s="352"/>
      <c r="R13" s="330"/>
      <c r="S13" s="331"/>
      <c r="T13" s="331"/>
      <c r="U13" s="331"/>
      <c r="V13" s="331"/>
      <c r="W13" s="332"/>
      <c r="X13" s="337"/>
      <c r="Y13" s="337"/>
      <c r="Z13" s="275" t="s">
        <v>26</v>
      </c>
      <c r="AA13" s="276"/>
      <c r="AB13" s="277"/>
      <c r="AC13" s="339" t="s">
        <v>25</v>
      </c>
      <c r="AD13" s="281"/>
      <c r="AE13" s="283"/>
    </row>
    <row r="14" spans="1:31" ht="11.15" customHeight="1">
      <c r="A14" s="306"/>
      <c r="B14" s="309"/>
      <c r="C14" s="310"/>
      <c r="D14" s="310"/>
      <c r="E14" s="315"/>
      <c r="F14" s="316"/>
      <c r="G14" s="316"/>
      <c r="H14" s="316"/>
      <c r="I14" s="316"/>
      <c r="J14" s="316"/>
      <c r="K14" s="316"/>
      <c r="L14" s="316"/>
      <c r="M14" s="316"/>
      <c r="N14" s="317"/>
      <c r="O14" s="350"/>
      <c r="P14" s="351"/>
      <c r="Q14" s="352"/>
      <c r="R14" s="333"/>
      <c r="S14" s="334"/>
      <c r="T14" s="334"/>
      <c r="U14" s="334"/>
      <c r="V14" s="334"/>
      <c r="W14" s="335"/>
      <c r="X14" s="337"/>
      <c r="Y14" s="337"/>
      <c r="Z14" s="275"/>
      <c r="AA14" s="276"/>
      <c r="AB14" s="277"/>
      <c r="AC14" s="280"/>
      <c r="AD14" s="281"/>
      <c r="AE14" s="283"/>
    </row>
    <row r="15" spans="1:31" ht="11.15" customHeight="1">
      <c r="A15" s="306"/>
      <c r="B15" s="287" t="str">
        <f>TEXT(B11,"(aaa)")</f>
        <v>(火)</v>
      </c>
      <c r="C15" s="310"/>
      <c r="D15" s="310"/>
      <c r="E15" s="315"/>
      <c r="F15" s="316"/>
      <c r="G15" s="316"/>
      <c r="H15" s="316"/>
      <c r="I15" s="316"/>
      <c r="J15" s="316"/>
      <c r="K15" s="316"/>
      <c r="L15" s="316"/>
      <c r="M15" s="316"/>
      <c r="N15" s="317"/>
      <c r="O15" s="350"/>
      <c r="P15" s="351"/>
      <c r="Q15" s="352"/>
      <c r="R15" s="289" t="s">
        <v>37</v>
      </c>
      <c r="S15" s="291" t="s">
        <v>42</v>
      </c>
      <c r="T15" s="292"/>
      <c r="U15" s="292"/>
      <c r="V15" s="292"/>
      <c r="W15" s="293"/>
      <c r="X15" s="337"/>
      <c r="Y15" s="337"/>
      <c r="Z15" s="275" t="s">
        <v>78</v>
      </c>
      <c r="AA15" s="276"/>
      <c r="AB15" s="277"/>
      <c r="AC15" s="300">
        <v>0.77083333333333337</v>
      </c>
      <c r="AD15" s="281"/>
      <c r="AE15" s="283" t="s">
        <v>79</v>
      </c>
    </row>
    <row r="16" spans="1:31" ht="11.15" customHeight="1">
      <c r="A16" s="307"/>
      <c r="B16" s="288"/>
      <c r="C16" s="311"/>
      <c r="D16" s="311"/>
      <c r="E16" s="318"/>
      <c r="F16" s="319"/>
      <c r="G16" s="319"/>
      <c r="H16" s="319"/>
      <c r="I16" s="319"/>
      <c r="J16" s="319"/>
      <c r="K16" s="319"/>
      <c r="L16" s="319"/>
      <c r="M16" s="319"/>
      <c r="N16" s="320"/>
      <c r="O16" s="353"/>
      <c r="P16" s="354"/>
      <c r="Q16" s="355"/>
      <c r="R16" s="290"/>
      <c r="S16" s="294"/>
      <c r="T16" s="295"/>
      <c r="U16" s="295"/>
      <c r="V16" s="295"/>
      <c r="W16" s="296"/>
      <c r="X16" s="338"/>
      <c r="Y16" s="338"/>
      <c r="Z16" s="297"/>
      <c r="AA16" s="298"/>
      <c r="AB16" s="299"/>
      <c r="AC16" s="301"/>
      <c r="AD16" s="302"/>
      <c r="AE16" s="303"/>
    </row>
    <row r="17" spans="1:31" ht="11.15" customHeight="1">
      <c r="A17" s="305">
        <v>2</v>
      </c>
      <c r="B17" s="308">
        <f>B11+1</f>
        <v>46253</v>
      </c>
      <c r="C17" s="284" t="s">
        <v>43</v>
      </c>
      <c r="D17" s="284"/>
      <c r="E17" s="312" t="s">
        <v>97</v>
      </c>
      <c r="F17" s="313"/>
      <c r="G17" s="313"/>
      <c r="H17" s="313"/>
      <c r="I17" s="313"/>
      <c r="J17" s="313"/>
      <c r="K17" s="313"/>
      <c r="L17" s="313"/>
      <c r="M17" s="313"/>
      <c r="N17" s="314"/>
      <c r="O17" s="321" t="s">
        <v>98</v>
      </c>
      <c r="P17" s="322"/>
      <c r="Q17" s="323"/>
      <c r="R17" s="327" t="s">
        <v>41</v>
      </c>
      <c r="S17" s="328"/>
      <c r="T17" s="328"/>
      <c r="U17" s="328"/>
      <c r="V17" s="328"/>
      <c r="W17" s="329"/>
      <c r="X17" s="336" t="s">
        <v>96</v>
      </c>
      <c r="Y17" s="336"/>
      <c r="Z17" s="272" t="s">
        <v>15</v>
      </c>
      <c r="AA17" s="273"/>
      <c r="AB17" s="274"/>
      <c r="AC17" s="278">
        <v>0.27083333333333331</v>
      </c>
      <c r="AD17" s="279"/>
      <c r="AE17" s="282"/>
    </row>
    <row r="18" spans="1:31" ht="11.15" customHeight="1">
      <c r="A18" s="306"/>
      <c r="B18" s="309"/>
      <c r="C18" s="310"/>
      <c r="D18" s="310"/>
      <c r="E18" s="315"/>
      <c r="F18" s="316"/>
      <c r="G18" s="316"/>
      <c r="H18" s="316"/>
      <c r="I18" s="316"/>
      <c r="J18" s="316"/>
      <c r="K18" s="316"/>
      <c r="L18" s="316"/>
      <c r="M18" s="316"/>
      <c r="N18" s="317"/>
      <c r="O18" s="324"/>
      <c r="P18" s="325"/>
      <c r="Q18" s="326"/>
      <c r="R18" s="330"/>
      <c r="S18" s="331"/>
      <c r="T18" s="331"/>
      <c r="U18" s="331"/>
      <c r="V18" s="331"/>
      <c r="W18" s="332"/>
      <c r="X18" s="337"/>
      <c r="Y18" s="337"/>
      <c r="Z18" s="275"/>
      <c r="AA18" s="276"/>
      <c r="AB18" s="277"/>
      <c r="AC18" s="280"/>
      <c r="AD18" s="281"/>
      <c r="AE18" s="283"/>
    </row>
    <row r="19" spans="1:31" ht="11.15" customHeight="1">
      <c r="A19" s="306"/>
      <c r="B19" s="309"/>
      <c r="C19" s="310"/>
      <c r="D19" s="310"/>
      <c r="E19" s="315"/>
      <c r="F19" s="316"/>
      <c r="G19" s="316"/>
      <c r="H19" s="316"/>
      <c r="I19" s="316"/>
      <c r="J19" s="316"/>
      <c r="K19" s="316"/>
      <c r="L19" s="316"/>
      <c r="M19" s="316"/>
      <c r="N19" s="317"/>
      <c r="O19" s="324"/>
      <c r="P19" s="325"/>
      <c r="Q19" s="326"/>
      <c r="R19" s="330"/>
      <c r="S19" s="331"/>
      <c r="T19" s="331"/>
      <c r="U19" s="331"/>
      <c r="V19" s="331"/>
      <c r="W19" s="332"/>
      <c r="X19" s="337"/>
      <c r="Y19" s="337"/>
      <c r="Z19" s="275" t="s">
        <v>75</v>
      </c>
      <c r="AA19" s="276"/>
      <c r="AB19" s="277"/>
      <c r="AC19" s="300">
        <v>0.52083333333333337</v>
      </c>
      <c r="AD19" s="281"/>
      <c r="AE19" s="304" t="s">
        <v>77</v>
      </c>
    </row>
    <row r="20" spans="1:31" ht="11.15" customHeight="1">
      <c r="A20" s="306"/>
      <c r="B20" s="309"/>
      <c r="C20" s="310"/>
      <c r="D20" s="310"/>
      <c r="E20" s="315"/>
      <c r="F20" s="316"/>
      <c r="G20" s="316"/>
      <c r="H20" s="316"/>
      <c r="I20" s="316"/>
      <c r="J20" s="316"/>
      <c r="K20" s="316"/>
      <c r="L20" s="316"/>
      <c r="M20" s="316"/>
      <c r="N20" s="317"/>
      <c r="O20" s="324"/>
      <c r="P20" s="325"/>
      <c r="Q20" s="326"/>
      <c r="R20" s="333"/>
      <c r="S20" s="334"/>
      <c r="T20" s="334"/>
      <c r="U20" s="334"/>
      <c r="V20" s="334"/>
      <c r="W20" s="335"/>
      <c r="X20" s="337"/>
      <c r="Y20" s="337"/>
      <c r="Z20" s="275"/>
      <c r="AA20" s="276"/>
      <c r="AB20" s="277"/>
      <c r="AC20" s="280"/>
      <c r="AD20" s="281"/>
      <c r="AE20" s="283"/>
    </row>
    <row r="21" spans="1:31" ht="11.15" customHeight="1">
      <c r="A21" s="306"/>
      <c r="B21" s="287" t="str">
        <f>TEXT(B17,"(aaa)")</f>
        <v>(水)</v>
      </c>
      <c r="C21" s="310"/>
      <c r="D21" s="310"/>
      <c r="E21" s="315"/>
      <c r="F21" s="316"/>
      <c r="G21" s="316"/>
      <c r="H21" s="316"/>
      <c r="I21" s="316"/>
      <c r="J21" s="316"/>
      <c r="K21" s="316"/>
      <c r="L21" s="316"/>
      <c r="M21" s="316"/>
      <c r="N21" s="317"/>
      <c r="O21" s="324"/>
      <c r="P21" s="325"/>
      <c r="Q21" s="326"/>
      <c r="R21" s="289" t="s">
        <v>37</v>
      </c>
      <c r="S21" s="291" t="s">
        <v>42</v>
      </c>
      <c r="T21" s="292"/>
      <c r="U21" s="292"/>
      <c r="V21" s="292"/>
      <c r="W21" s="293"/>
      <c r="X21" s="337"/>
      <c r="Y21" s="337"/>
      <c r="Z21" s="275" t="s">
        <v>78</v>
      </c>
      <c r="AA21" s="276"/>
      <c r="AB21" s="277"/>
      <c r="AC21" s="300">
        <v>0.79166666666666663</v>
      </c>
      <c r="AD21" s="281"/>
      <c r="AE21" s="283" t="s">
        <v>79</v>
      </c>
    </row>
    <row r="22" spans="1:31" ht="11.15" customHeight="1">
      <c r="A22" s="307"/>
      <c r="B22" s="288"/>
      <c r="C22" s="311"/>
      <c r="D22" s="311"/>
      <c r="E22" s="318"/>
      <c r="F22" s="319"/>
      <c r="G22" s="319"/>
      <c r="H22" s="319"/>
      <c r="I22" s="319"/>
      <c r="J22" s="319"/>
      <c r="K22" s="319"/>
      <c r="L22" s="319"/>
      <c r="M22" s="319"/>
      <c r="N22" s="320"/>
      <c r="O22" s="324"/>
      <c r="P22" s="325"/>
      <c r="Q22" s="326"/>
      <c r="R22" s="290"/>
      <c r="S22" s="294"/>
      <c r="T22" s="295"/>
      <c r="U22" s="295"/>
      <c r="V22" s="295"/>
      <c r="W22" s="296"/>
      <c r="X22" s="338"/>
      <c r="Y22" s="338"/>
      <c r="Z22" s="297"/>
      <c r="AA22" s="298"/>
      <c r="AB22" s="299"/>
      <c r="AC22" s="301"/>
      <c r="AD22" s="302"/>
      <c r="AE22" s="303"/>
    </row>
    <row r="23" spans="1:31" ht="11.15" customHeight="1">
      <c r="A23" s="101">
        <v>3</v>
      </c>
      <c r="B23" s="104">
        <f>B17+1</f>
        <v>46254</v>
      </c>
      <c r="C23" s="106" t="s">
        <v>99</v>
      </c>
      <c r="D23" s="106"/>
      <c r="E23" s="170" t="s">
        <v>101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71" t="s">
        <v>103</v>
      </c>
      <c r="P23" s="171"/>
      <c r="Q23" s="171"/>
      <c r="R23" s="160" t="s">
        <v>39</v>
      </c>
      <c r="S23" s="125"/>
      <c r="T23" s="125"/>
      <c r="U23" s="125"/>
      <c r="V23" s="125"/>
      <c r="W23" s="126"/>
      <c r="X23" s="161" t="s">
        <v>28</v>
      </c>
      <c r="Y23" s="161"/>
      <c r="Z23" s="272" t="s">
        <v>15</v>
      </c>
      <c r="AA23" s="273"/>
      <c r="AB23" s="274"/>
      <c r="AC23" s="278">
        <v>0.27083333333333331</v>
      </c>
      <c r="AD23" s="279"/>
      <c r="AE23" s="282"/>
    </row>
    <row r="24" spans="1:31" ht="11.15" customHeight="1">
      <c r="A24" s="102"/>
      <c r="B24" s="105"/>
      <c r="C24" s="107"/>
      <c r="D24" s="107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72"/>
      <c r="P24" s="172"/>
      <c r="Q24" s="172"/>
      <c r="R24" s="127"/>
      <c r="S24" s="128"/>
      <c r="T24" s="128"/>
      <c r="U24" s="128"/>
      <c r="V24" s="128"/>
      <c r="W24" s="129"/>
      <c r="X24" s="162"/>
      <c r="Y24" s="162"/>
      <c r="Z24" s="275"/>
      <c r="AA24" s="276"/>
      <c r="AB24" s="277"/>
      <c r="AC24" s="280"/>
      <c r="AD24" s="281"/>
      <c r="AE24" s="283"/>
    </row>
    <row r="25" spans="1:31" ht="11.15" customHeight="1">
      <c r="A25" s="102"/>
      <c r="B25" s="105"/>
      <c r="C25" s="107"/>
      <c r="D25" s="107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72"/>
      <c r="P25" s="172"/>
      <c r="Q25" s="172"/>
      <c r="R25" s="127"/>
      <c r="S25" s="128"/>
      <c r="T25" s="128"/>
      <c r="U25" s="128"/>
      <c r="V25" s="128"/>
      <c r="W25" s="129"/>
      <c r="X25" s="162"/>
      <c r="Y25" s="162"/>
      <c r="Z25" s="147" t="s">
        <v>81</v>
      </c>
      <c r="AA25" s="148"/>
      <c r="AB25" s="149"/>
      <c r="AC25" s="153">
        <v>0.53125</v>
      </c>
      <c r="AD25" s="90"/>
      <c r="AE25" s="93" t="s">
        <v>82</v>
      </c>
    </row>
    <row r="26" spans="1:31" ht="11.15" customHeight="1">
      <c r="A26" s="102"/>
      <c r="B26" s="105"/>
      <c r="C26" s="107"/>
      <c r="D26" s="10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72"/>
      <c r="P26" s="172"/>
      <c r="Q26" s="172"/>
      <c r="R26" s="130"/>
      <c r="S26" s="131"/>
      <c r="T26" s="131"/>
      <c r="U26" s="131"/>
      <c r="V26" s="131"/>
      <c r="W26" s="132"/>
      <c r="X26" s="162"/>
      <c r="Y26" s="162"/>
      <c r="Z26" s="147"/>
      <c r="AA26" s="148"/>
      <c r="AB26" s="149"/>
      <c r="AC26" s="100"/>
      <c r="AD26" s="90"/>
      <c r="AE26" s="93"/>
    </row>
    <row r="27" spans="1:31" ht="11.15" customHeight="1">
      <c r="A27" s="102"/>
      <c r="B27" s="74" t="str">
        <f>TEXT(B23,"(aaa)")</f>
        <v>(木)</v>
      </c>
      <c r="C27" s="107"/>
      <c r="D27" s="10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72"/>
      <c r="P27" s="172"/>
      <c r="Q27" s="172"/>
      <c r="R27" s="145" t="s">
        <v>36</v>
      </c>
      <c r="S27" s="78" t="s">
        <v>40</v>
      </c>
      <c r="T27" s="79"/>
      <c r="U27" s="79"/>
      <c r="V27" s="79"/>
      <c r="W27" s="80"/>
      <c r="X27" s="162"/>
      <c r="Y27" s="162"/>
      <c r="Z27" s="147" t="s">
        <v>53</v>
      </c>
      <c r="AA27" s="148"/>
      <c r="AB27" s="149"/>
      <c r="AC27" s="153">
        <v>0.8125</v>
      </c>
      <c r="AD27" s="90"/>
      <c r="AE27" s="93" t="s">
        <v>54</v>
      </c>
    </row>
    <row r="28" spans="1:31" ht="11.15" customHeight="1">
      <c r="A28" s="103"/>
      <c r="B28" s="75"/>
      <c r="C28" s="108"/>
      <c r="D28" s="108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73"/>
      <c r="P28" s="173"/>
      <c r="Q28" s="173"/>
      <c r="R28" s="146"/>
      <c r="S28" s="81"/>
      <c r="T28" s="82"/>
      <c r="U28" s="82"/>
      <c r="V28" s="82"/>
      <c r="W28" s="77"/>
      <c r="X28" s="163"/>
      <c r="Y28" s="163"/>
      <c r="Z28" s="150"/>
      <c r="AA28" s="151"/>
      <c r="AB28" s="152"/>
      <c r="AC28" s="91"/>
      <c r="AD28" s="92"/>
      <c r="AE28" s="94"/>
    </row>
    <row r="29" spans="1:31" ht="11.15" customHeight="1">
      <c r="A29" s="101">
        <v>4</v>
      </c>
      <c r="B29" s="104">
        <f>B23+1</f>
        <v>46255</v>
      </c>
      <c r="C29" s="106" t="s">
        <v>59</v>
      </c>
      <c r="D29" s="106"/>
      <c r="E29" s="154" t="s">
        <v>55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7" t="s">
        <v>68</v>
      </c>
      <c r="P29" s="157"/>
      <c r="Q29" s="157"/>
      <c r="R29" s="160" t="s">
        <v>39</v>
      </c>
      <c r="S29" s="125"/>
      <c r="T29" s="125"/>
      <c r="U29" s="125"/>
      <c r="V29" s="125"/>
      <c r="W29" s="126"/>
      <c r="X29" s="161" t="s">
        <v>28</v>
      </c>
      <c r="Y29" s="161"/>
      <c r="Z29" s="164" t="s">
        <v>15</v>
      </c>
      <c r="AA29" s="165"/>
      <c r="AB29" s="166"/>
      <c r="AC29" s="167">
        <v>0.29166666666666669</v>
      </c>
      <c r="AD29" s="168"/>
      <c r="AE29" s="169"/>
    </row>
    <row r="30" spans="1:31" ht="11.15" customHeight="1">
      <c r="A30" s="102"/>
      <c r="B30" s="105"/>
      <c r="C30" s="107"/>
      <c r="D30" s="107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8"/>
      <c r="P30" s="158"/>
      <c r="Q30" s="158"/>
      <c r="R30" s="127"/>
      <c r="S30" s="128"/>
      <c r="T30" s="128"/>
      <c r="U30" s="128"/>
      <c r="V30" s="128"/>
      <c r="W30" s="129"/>
      <c r="X30" s="162"/>
      <c r="Y30" s="162"/>
      <c r="Z30" s="147"/>
      <c r="AA30" s="148"/>
      <c r="AB30" s="149"/>
      <c r="AC30" s="100"/>
      <c r="AD30" s="90"/>
      <c r="AE30" s="93"/>
    </row>
    <row r="31" spans="1:31" ht="11.15" customHeight="1">
      <c r="A31" s="102"/>
      <c r="B31" s="105"/>
      <c r="C31" s="107"/>
      <c r="D31" s="107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8"/>
      <c r="P31" s="158"/>
      <c r="Q31" s="158"/>
      <c r="R31" s="127"/>
      <c r="S31" s="128"/>
      <c r="T31" s="128"/>
      <c r="U31" s="128"/>
      <c r="V31" s="128"/>
      <c r="W31" s="129"/>
      <c r="X31" s="162"/>
      <c r="Y31" s="162"/>
      <c r="Z31" s="147" t="s">
        <v>73</v>
      </c>
      <c r="AA31" s="148"/>
      <c r="AB31" s="149"/>
      <c r="AC31" s="153">
        <v>0.54166666666666663</v>
      </c>
      <c r="AD31" s="90"/>
      <c r="AE31" s="93" t="s">
        <v>54</v>
      </c>
    </row>
    <row r="32" spans="1:31" ht="11.15" customHeight="1">
      <c r="A32" s="102"/>
      <c r="B32" s="105"/>
      <c r="C32" s="107"/>
      <c r="D32" s="107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8"/>
      <c r="P32" s="158"/>
      <c r="Q32" s="158"/>
      <c r="R32" s="130"/>
      <c r="S32" s="131"/>
      <c r="T32" s="131"/>
      <c r="U32" s="131"/>
      <c r="V32" s="131"/>
      <c r="W32" s="132"/>
      <c r="X32" s="162"/>
      <c r="Y32" s="162"/>
      <c r="Z32" s="147"/>
      <c r="AA32" s="148"/>
      <c r="AB32" s="149"/>
      <c r="AC32" s="100"/>
      <c r="AD32" s="90"/>
      <c r="AE32" s="93"/>
    </row>
    <row r="33" spans="1:31" ht="11.15" customHeight="1">
      <c r="A33" s="102"/>
      <c r="B33" s="74" t="str">
        <f>TEXT(B29,"(aaa)")</f>
        <v>(金)</v>
      </c>
      <c r="C33" s="107"/>
      <c r="D33" s="107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8"/>
      <c r="P33" s="158"/>
      <c r="Q33" s="158"/>
      <c r="R33" s="145" t="s">
        <v>36</v>
      </c>
      <c r="S33" s="78" t="s">
        <v>40</v>
      </c>
      <c r="T33" s="79"/>
      <c r="U33" s="79"/>
      <c r="V33" s="79"/>
      <c r="W33" s="80"/>
      <c r="X33" s="162"/>
      <c r="Y33" s="162"/>
      <c r="Z33" s="147" t="s">
        <v>53</v>
      </c>
      <c r="AA33" s="148"/>
      <c r="AB33" s="149"/>
      <c r="AC33" s="153">
        <v>0.79166666666666663</v>
      </c>
      <c r="AD33" s="90"/>
      <c r="AE33" s="93" t="s">
        <v>54</v>
      </c>
    </row>
    <row r="34" spans="1:31" ht="11.15" customHeight="1">
      <c r="A34" s="103"/>
      <c r="B34" s="75"/>
      <c r="C34" s="108"/>
      <c r="D34" s="108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9"/>
      <c r="P34" s="159"/>
      <c r="Q34" s="159"/>
      <c r="R34" s="146"/>
      <c r="S34" s="81"/>
      <c r="T34" s="82"/>
      <c r="U34" s="82"/>
      <c r="V34" s="82"/>
      <c r="W34" s="77"/>
      <c r="X34" s="163"/>
      <c r="Y34" s="163"/>
      <c r="Z34" s="150"/>
      <c r="AA34" s="151"/>
      <c r="AB34" s="152"/>
      <c r="AC34" s="91"/>
      <c r="AD34" s="92"/>
      <c r="AE34" s="94"/>
    </row>
    <row r="35" spans="1:31" ht="11.15" customHeight="1">
      <c r="A35" s="101">
        <v>5</v>
      </c>
      <c r="B35" s="104">
        <f>B29+1</f>
        <v>46256</v>
      </c>
      <c r="C35" s="106" t="s">
        <v>59</v>
      </c>
      <c r="D35" s="106"/>
      <c r="E35" s="109" t="s">
        <v>50</v>
      </c>
      <c r="F35" s="110"/>
      <c r="G35" s="110"/>
      <c r="H35" s="110"/>
      <c r="I35" s="110"/>
      <c r="J35" s="110"/>
      <c r="K35" s="110"/>
      <c r="L35" s="110"/>
      <c r="M35" s="110"/>
      <c r="N35" s="111"/>
      <c r="O35" s="115"/>
      <c r="P35" s="116"/>
      <c r="Q35" s="117"/>
      <c r="R35" s="124" t="s">
        <v>17</v>
      </c>
      <c r="S35" s="125"/>
      <c r="T35" s="125"/>
      <c r="U35" s="125"/>
      <c r="V35" s="125"/>
      <c r="W35" s="126"/>
      <c r="X35" s="133"/>
      <c r="Y35" s="134"/>
      <c r="Z35" s="138" t="s">
        <v>46</v>
      </c>
      <c r="AA35" s="139"/>
      <c r="AB35" s="140"/>
      <c r="AC35" s="141" t="s">
        <v>47</v>
      </c>
      <c r="AD35" s="142"/>
      <c r="AE35" s="95"/>
    </row>
    <row r="36" spans="1:31" ht="11.15" customHeight="1">
      <c r="A36" s="102"/>
      <c r="B36" s="105"/>
      <c r="C36" s="107"/>
      <c r="D36" s="107"/>
      <c r="E36" s="112"/>
      <c r="F36" s="113"/>
      <c r="G36" s="113"/>
      <c r="H36" s="113"/>
      <c r="I36" s="113"/>
      <c r="J36" s="113"/>
      <c r="K36" s="113"/>
      <c r="L36" s="113"/>
      <c r="M36" s="113"/>
      <c r="N36" s="114"/>
      <c r="O36" s="118"/>
      <c r="P36" s="119"/>
      <c r="Q36" s="120"/>
      <c r="R36" s="127"/>
      <c r="S36" s="128"/>
      <c r="T36" s="128"/>
      <c r="U36" s="128"/>
      <c r="V36" s="128"/>
      <c r="W36" s="129"/>
      <c r="X36" s="135"/>
      <c r="Y36" s="135"/>
      <c r="Z36" s="83"/>
      <c r="AA36" s="84"/>
      <c r="AB36" s="85"/>
      <c r="AC36" s="143"/>
      <c r="AD36" s="144"/>
      <c r="AE36" s="96"/>
    </row>
    <row r="37" spans="1:31" ht="11.15" customHeight="1">
      <c r="A37" s="102"/>
      <c r="B37" s="105"/>
      <c r="C37" s="107"/>
      <c r="D37" s="107"/>
      <c r="E37" s="112"/>
      <c r="F37" s="113"/>
      <c r="G37" s="113"/>
      <c r="H37" s="113"/>
      <c r="I37" s="113"/>
      <c r="J37" s="113"/>
      <c r="K37" s="113"/>
      <c r="L37" s="113"/>
      <c r="M37" s="113"/>
      <c r="N37" s="114"/>
      <c r="O37" s="118"/>
      <c r="P37" s="119"/>
      <c r="Q37" s="120"/>
      <c r="R37" s="127"/>
      <c r="S37" s="128"/>
      <c r="T37" s="128"/>
      <c r="U37" s="128"/>
      <c r="V37" s="128"/>
      <c r="W37" s="129"/>
      <c r="X37" s="136"/>
      <c r="Y37" s="136"/>
      <c r="Z37" s="83" t="s">
        <v>26</v>
      </c>
      <c r="AA37" s="84"/>
      <c r="AB37" s="85"/>
      <c r="AC37" s="89" t="s">
        <v>25</v>
      </c>
      <c r="AD37" s="90"/>
      <c r="AE37" s="93"/>
    </row>
    <row r="38" spans="1:31" ht="11.15" customHeight="1">
      <c r="A38" s="102"/>
      <c r="B38" s="105"/>
      <c r="C38" s="107"/>
      <c r="D38" s="107"/>
      <c r="E38" s="68" t="s">
        <v>32</v>
      </c>
      <c r="F38" s="69"/>
      <c r="G38" s="69"/>
      <c r="H38" s="69"/>
      <c r="I38" s="69"/>
      <c r="J38" s="69"/>
      <c r="K38" s="69"/>
      <c r="L38" s="69"/>
      <c r="M38" s="69"/>
      <c r="N38" s="70"/>
      <c r="O38" s="118"/>
      <c r="P38" s="119"/>
      <c r="Q38" s="120"/>
      <c r="R38" s="130"/>
      <c r="S38" s="131"/>
      <c r="T38" s="131"/>
      <c r="U38" s="131"/>
      <c r="V38" s="131"/>
      <c r="W38" s="132"/>
      <c r="X38" s="136"/>
      <c r="Y38" s="136"/>
      <c r="Z38" s="83"/>
      <c r="AA38" s="84"/>
      <c r="AB38" s="85"/>
      <c r="AC38" s="100"/>
      <c r="AD38" s="90"/>
      <c r="AE38" s="93"/>
    </row>
    <row r="39" spans="1:31" ht="11.15" customHeight="1">
      <c r="A39" s="102"/>
      <c r="B39" s="74" t="str">
        <f>TEXT(B35,"(aaa)")</f>
        <v>(土)</v>
      </c>
      <c r="C39" s="107"/>
      <c r="D39" s="107"/>
      <c r="E39" s="68"/>
      <c r="F39" s="69"/>
      <c r="G39" s="69"/>
      <c r="H39" s="69"/>
      <c r="I39" s="69"/>
      <c r="J39" s="69"/>
      <c r="K39" s="69"/>
      <c r="L39" s="69"/>
      <c r="M39" s="69"/>
      <c r="N39" s="70"/>
      <c r="O39" s="118"/>
      <c r="P39" s="119"/>
      <c r="Q39" s="120"/>
      <c r="R39" s="76"/>
      <c r="S39" s="78"/>
      <c r="T39" s="79"/>
      <c r="U39" s="79"/>
      <c r="V39" s="79"/>
      <c r="W39" s="80"/>
      <c r="X39" s="136"/>
      <c r="Y39" s="136"/>
      <c r="Z39" s="83" t="s">
        <v>27</v>
      </c>
      <c r="AA39" s="84"/>
      <c r="AB39" s="85"/>
      <c r="AC39" s="89" t="s">
        <v>25</v>
      </c>
      <c r="AD39" s="90"/>
      <c r="AE39" s="93"/>
    </row>
    <row r="40" spans="1:31" ht="11.15" customHeight="1">
      <c r="A40" s="103"/>
      <c r="B40" s="75"/>
      <c r="C40" s="108"/>
      <c r="D40" s="108"/>
      <c r="E40" s="71"/>
      <c r="F40" s="72"/>
      <c r="G40" s="72"/>
      <c r="H40" s="72"/>
      <c r="I40" s="72"/>
      <c r="J40" s="72"/>
      <c r="K40" s="72"/>
      <c r="L40" s="72"/>
      <c r="M40" s="72"/>
      <c r="N40" s="73"/>
      <c r="O40" s="121"/>
      <c r="P40" s="122"/>
      <c r="Q40" s="123"/>
      <c r="R40" s="77"/>
      <c r="S40" s="81"/>
      <c r="T40" s="82"/>
      <c r="U40" s="82"/>
      <c r="V40" s="82"/>
      <c r="W40" s="77"/>
      <c r="X40" s="137"/>
      <c r="Y40" s="137"/>
      <c r="Z40" s="86"/>
      <c r="AA40" s="87"/>
      <c r="AB40" s="88"/>
      <c r="AC40" s="91"/>
      <c r="AD40" s="92"/>
      <c r="AE40" s="94"/>
    </row>
    <row r="41" spans="1:31" ht="15" customHeight="1">
      <c r="A41" s="54" t="s">
        <v>31</v>
      </c>
      <c r="B41" s="15"/>
      <c r="C41" s="6"/>
      <c r="D41" s="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"/>
      <c r="P41" s="2"/>
      <c r="Q41" s="2"/>
      <c r="R41" s="17"/>
      <c r="S41" s="18"/>
      <c r="T41" s="18"/>
      <c r="U41" s="57" t="s">
        <v>60</v>
      </c>
      <c r="V41" s="58"/>
      <c r="W41" s="58"/>
      <c r="X41" s="57"/>
      <c r="Y41" s="59"/>
      <c r="Z41" s="60"/>
      <c r="AA41" s="60"/>
      <c r="AB41" s="60"/>
      <c r="AC41" s="61"/>
      <c r="AD41" s="61"/>
      <c r="AE41" s="62"/>
    </row>
    <row r="42" spans="1:31" ht="15" customHeight="1">
      <c r="A42" s="55" t="s">
        <v>23</v>
      </c>
      <c r="B42" s="15"/>
      <c r="C42" s="6"/>
      <c r="D42" s="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"/>
      <c r="P42" s="2"/>
      <c r="Q42" s="2"/>
      <c r="R42" s="17"/>
      <c r="S42" s="18"/>
      <c r="T42" s="18"/>
      <c r="U42" s="57" t="s">
        <v>61</v>
      </c>
      <c r="V42" s="58"/>
      <c r="W42" s="58"/>
      <c r="X42" s="57"/>
      <c r="Y42" s="59"/>
      <c r="Z42" s="63"/>
      <c r="AA42" s="60"/>
      <c r="AB42" s="60"/>
      <c r="AC42" s="61"/>
      <c r="AD42" s="61"/>
      <c r="AE42" s="62"/>
    </row>
    <row r="43" spans="1:31" ht="15" customHeight="1">
      <c r="A43" s="55" t="s">
        <v>24</v>
      </c>
      <c r="B43" s="15"/>
      <c r="C43" s="6"/>
      <c r="D43" s="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"/>
      <c r="P43" s="2"/>
      <c r="Q43" s="2"/>
      <c r="R43" s="17"/>
      <c r="S43" s="18"/>
      <c r="T43" s="18"/>
      <c r="U43" s="57"/>
      <c r="V43" s="64"/>
      <c r="W43" s="64"/>
      <c r="X43" s="57"/>
      <c r="Y43" s="64"/>
      <c r="Z43" s="64"/>
      <c r="AA43" s="64"/>
      <c r="AB43" s="64"/>
      <c r="AC43" s="64"/>
      <c r="AD43" s="64"/>
      <c r="AE43" s="62"/>
    </row>
    <row r="44" spans="1:31" ht="15" customHeight="1">
      <c r="A44" s="24" t="s">
        <v>29</v>
      </c>
      <c r="B44" s="31"/>
      <c r="C44" s="6"/>
      <c r="D44" s="6"/>
      <c r="E44" s="16"/>
      <c r="F44" s="16"/>
      <c r="G44" s="16"/>
      <c r="H44" s="16"/>
      <c r="I44" s="16"/>
      <c r="J44" s="16"/>
      <c r="K44" s="2"/>
      <c r="L44" s="32"/>
      <c r="M44" s="16"/>
      <c r="N44" s="16"/>
      <c r="O44" s="2"/>
      <c r="P44" s="2"/>
      <c r="Q44" s="2"/>
      <c r="R44" s="17"/>
      <c r="S44" s="18"/>
      <c r="T44" s="18"/>
      <c r="U44" s="25" t="s">
        <v>66</v>
      </c>
      <c r="V44" s="18"/>
      <c r="W44" s="30"/>
      <c r="X44" s="30"/>
      <c r="Y44" s="30"/>
      <c r="Z44" s="30"/>
      <c r="AA44" s="30"/>
      <c r="AB44" s="30"/>
      <c r="AC44" s="30"/>
      <c r="AD44" s="30"/>
      <c r="AE44" s="29"/>
    </row>
    <row r="45" spans="1:31" ht="15" customHeight="1">
      <c r="A45" s="51" t="s">
        <v>34</v>
      </c>
      <c r="B45" s="31"/>
      <c r="C45" s="56" t="s">
        <v>69</v>
      </c>
      <c r="D45" s="11"/>
      <c r="E45" s="34"/>
      <c r="F45" s="34"/>
      <c r="G45" s="35"/>
      <c r="J45" s="32" t="s">
        <v>70</v>
      </c>
      <c r="K45" s="50"/>
      <c r="L45" s="36"/>
      <c r="M45" s="2"/>
      <c r="N45" s="17"/>
      <c r="O45" s="18"/>
      <c r="P45" s="39"/>
      <c r="Q45" s="2"/>
      <c r="R45" s="39"/>
      <c r="S45" s="18"/>
      <c r="T45" s="18"/>
      <c r="U45" s="37" t="s">
        <v>67</v>
      </c>
      <c r="V45" s="18"/>
      <c r="W45" s="30"/>
      <c r="X45" s="30"/>
      <c r="Y45" s="30"/>
      <c r="Z45" s="30"/>
      <c r="AA45" s="30"/>
      <c r="AB45" s="30"/>
      <c r="AC45" s="30"/>
      <c r="AD45" s="30"/>
      <c r="AE45" s="38"/>
    </row>
    <row r="46" spans="1:31" ht="15" customHeight="1">
      <c r="A46" s="51" t="s">
        <v>33</v>
      </c>
      <c r="B46" s="31"/>
      <c r="C46" s="39"/>
      <c r="D46" s="6"/>
      <c r="E46" s="16"/>
      <c r="F46" s="16"/>
      <c r="G46" s="16"/>
      <c r="H46" s="32"/>
      <c r="I46" s="16"/>
      <c r="J46" s="16"/>
      <c r="K46" s="16"/>
      <c r="L46" s="16"/>
      <c r="M46" s="16"/>
      <c r="N46" s="16"/>
      <c r="O46" s="2"/>
      <c r="P46" s="40"/>
      <c r="Q46" s="40"/>
      <c r="R46" s="41"/>
      <c r="S46" s="18"/>
      <c r="T46" s="18"/>
      <c r="U46" s="25"/>
      <c r="V46" s="30"/>
      <c r="W46" s="42"/>
      <c r="X46" s="42"/>
      <c r="Y46" s="42"/>
      <c r="Z46" s="42"/>
      <c r="AA46" s="42"/>
      <c r="AB46" s="42"/>
      <c r="AC46" s="42"/>
      <c r="AD46" s="42"/>
      <c r="AE46" s="38"/>
    </row>
    <row r="47" spans="1:31" ht="15" customHeight="1">
      <c r="A47" s="33"/>
      <c r="B47" s="43"/>
      <c r="C47" s="7"/>
      <c r="D47" s="7"/>
      <c r="E47" s="16"/>
      <c r="F47" s="16"/>
      <c r="G47" s="16"/>
      <c r="H47" s="16"/>
      <c r="I47" s="16"/>
      <c r="J47" s="36"/>
      <c r="K47" s="36"/>
      <c r="L47" s="36"/>
      <c r="M47" s="36"/>
      <c r="N47" s="36"/>
      <c r="O47" s="40"/>
      <c r="P47" s="40"/>
      <c r="Q47" s="40"/>
      <c r="R47" s="41"/>
      <c r="S47" s="18"/>
      <c r="T47" s="18"/>
      <c r="U47" s="52" t="s">
        <v>48</v>
      </c>
      <c r="V47" s="18"/>
      <c r="W47" s="30"/>
      <c r="X47" s="30"/>
      <c r="Y47" s="30"/>
      <c r="Z47" s="30"/>
      <c r="AA47" s="30"/>
      <c r="AB47" s="30"/>
      <c r="AC47" s="30"/>
      <c r="AD47" s="30"/>
      <c r="AE47" s="44"/>
    </row>
    <row r="48" spans="1:31" ht="15" customHeight="1">
      <c r="A48" s="24" t="s">
        <v>30</v>
      </c>
      <c r="B48" s="43"/>
      <c r="C48" s="30"/>
      <c r="D48" s="30"/>
      <c r="E48" s="30"/>
      <c r="F48" s="30"/>
      <c r="G48" s="30"/>
      <c r="H48" s="30"/>
      <c r="I48" s="30"/>
      <c r="J48" s="36"/>
      <c r="K48" s="36"/>
      <c r="L48" s="36"/>
      <c r="M48" s="36"/>
      <c r="N48" s="36"/>
      <c r="O48" s="40"/>
      <c r="P48" s="40"/>
      <c r="Q48" s="40"/>
      <c r="R48" s="41"/>
      <c r="S48" s="18"/>
      <c r="T48" s="18"/>
      <c r="U48" s="52" t="s">
        <v>49</v>
      </c>
      <c r="V48" s="18"/>
      <c r="W48" s="30"/>
      <c r="X48" s="30"/>
      <c r="Y48" s="30"/>
      <c r="Z48" s="30"/>
      <c r="AA48" s="30"/>
      <c r="AB48" s="30"/>
      <c r="AC48" s="30"/>
      <c r="AD48" s="30"/>
      <c r="AE48" s="44"/>
    </row>
    <row r="49" spans="1:31" ht="15" customHeight="1">
      <c r="A49" s="45" t="s">
        <v>35</v>
      </c>
      <c r="B49" s="46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12"/>
      <c r="P49" s="12"/>
      <c r="Q49" s="12"/>
      <c r="R49" s="47"/>
      <c r="S49" s="48"/>
      <c r="T49" s="48"/>
      <c r="U49" s="49"/>
      <c r="V49" s="48"/>
      <c r="W49" s="8"/>
      <c r="X49" s="8"/>
      <c r="Y49" s="8"/>
      <c r="Z49" s="8"/>
      <c r="AA49" s="8"/>
      <c r="AB49" s="8"/>
      <c r="AC49" s="8"/>
      <c r="AD49" s="8"/>
      <c r="AE49" s="1" t="s">
        <v>16</v>
      </c>
    </row>
  </sheetData>
  <mergeCells count="117">
    <mergeCell ref="A1:F1"/>
    <mergeCell ref="G1:N1"/>
    <mergeCell ref="O1:Q1"/>
    <mergeCell ref="R1:Y1"/>
    <mergeCell ref="Z1:AE1"/>
    <mergeCell ref="A2:F9"/>
    <mergeCell ref="G2:N4"/>
    <mergeCell ref="O2:Q9"/>
    <mergeCell ref="R2:R5"/>
    <mergeCell ref="S2:Y5"/>
    <mergeCell ref="A10:B10"/>
    <mergeCell ref="C10:D10"/>
    <mergeCell ref="E10:N10"/>
    <mergeCell ref="O10:Q10"/>
    <mergeCell ref="R10:Y10"/>
    <mergeCell ref="Z10:AE10"/>
    <mergeCell ref="Z2:AE6"/>
    <mergeCell ref="G5:N9"/>
    <mergeCell ref="R6:R9"/>
    <mergeCell ref="S6:Y9"/>
    <mergeCell ref="Z7:AE9"/>
    <mergeCell ref="A11:A16"/>
    <mergeCell ref="B11:B14"/>
    <mergeCell ref="C11:D16"/>
    <mergeCell ref="E11:N16"/>
    <mergeCell ref="O11:Q16"/>
    <mergeCell ref="R11:W14"/>
    <mergeCell ref="B15:B16"/>
    <mergeCell ref="R15:R16"/>
    <mergeCell ref="S15:W16"/>
    <mergeCell ref="X17:Y22"/>
    <mergeCell ref="Z13:AB14"/>
    <mergeCell ref="AC13:AD14"/>
    <mergeCell ref="AE13:AE14"/>
    <mergeCell ref="X11:Y16"/>
    <mergeCell ref="Z11:AB12"/>
    <mergeCell ref="AC11:AD12"/>
    <mergeCell ref="AE11:AE12"/>
    <mergeCell ref="Z15:AB16"/>
    <mergeCell ref="AC15:AD16"/>
    <mergeCell ref="AE15:AE16"/>
    <mergeCell ref="Z21:AB22"/>
    <mergeCell ref="AC21:AD22"/>
    <mergeCell ref="AE21:AE22"/>
    <mergeCell ref="Z19:AB20"/>
    <mergeCell ref="AC19:AD20"/>
    <mergeCell ref="AE19:AE20"/>
    <mergeCell ref="Z17:AB18"/>
    <mergeCell ref="AC17:AD18"/>
    <mergeCell ref="AE17:AE18"/>
    <mergeCell ref="A23:A28"/>
    <mergeCell ref="B23:B26"/>
    <mergeCell ref="C23:D28"/>
    <mergeCell ref="E23:N28"/>
    <mergeCell ref="O23:Q28"/>
    <mergeCell ref="R23:W26"/>
    <mergeCell ref="B21:B22"/>
    <mergeCell ref="R21:R22"/>
    <mergeCell ref="S21:W22"/>
    <mergeCell ref="A17:A22"/>
    <mergeCell ref="B17:B20"/>
    <mergeCell ref="C17:D22"/>
    <mergeCell ref="E17:N22"/>
    <mergeCell ref="O17:Q22"/>
    <mergeCell ref="R17:W20"/>
    <mergeCell ref="B27:B28"/>
    <mergeCell ref="R27:R28"/>
    <mergeCell ref="S27:W28"/>
    <mergeCell ref="Z27:AB28"/>
    <mergeCell ref="AC27:AD28"/>
    <mergeCell ref="AE27:AE28"/>
    <mergeCell ref="Z25:AB26"/>
    <mergeCell ref="AC25:AD26"/>
    <mergeCell ref="AE25:AE26"/>
    <mergeCell ref="X23:Y28"/>
    <mergeCell ref="Z23:AB24"/>
    <mergeCell ref="AC23:AD24"/>
    <mergeCell ref="AE23:AE24"/>
    <mergeCell ref="AC29:AD30"/>
    <mergeCell ref="AE29:AE30"/>
    <mergeCell ref="A29:A34"/>
    <mergeCell ref="B29:B32"/>
    <mergeCell ref="C29:D34"/>
    <mergeCell ref="E29:N34"/>
    <mergeCell ref="O29:Q34"/>
    <mergeCell ref="R29:W32"/>
    <mergeCell ref="X29:Y34"/>
    <mergeCell ref="Z29:AB30"/>
    <mergeCell ref="B33:B34"/>
    <mergeCell ref="R33:R34"/>
    <mergeCell ref="S33:W34"/>
    <mergeCell ref="Z33:AB34"/>
    <mergeCell ref="AC33:AD34"/>
    <mergeCell ref="AE33:AE34"/>
    <mergeCell ref="Z31:AB32"/>
    <mergeCell ref="AC31:AD32"/>
    <mergeCell ref="AE31:AE32"/>
    <mergeCell ref="A35:A40"/>
    <mergeCell ref="B35:B38"/>
    <mergeCell ref="C35:D40"/>
    <mergeCell ref="E35:N37"/>
    <mergeCell ref="O35:Q40"/>
    <mergeCell ref="R35:W38"/>
    <mergeCell ref="X35:Y40"/>
    <mergeCell ref="Z35:AB36"/>
    <mergeCell ref="AC35:AD36"/>
    <mergeCell ref="E38:N40"/>
    <mergeCell ref="B39:B40"/>
    <mergeCell ref="R39:R40"/>
    <mergeCell ref="S39:W40"/>
    <mergeCell ref="Z39:AB40"/>
    <mergeCell ref="AC39:AD40"/>
    <mergeCell ref="AE39:AE40"/>
    <mergeCell ref="AE35:AE36"/>
    <mergeCell ref="Z37:AB38"/>
    <mergeCell ref="AC37:AD38"/>
    <mergeCell ref="AE37:AE38"/>
  </mergeCells>
  <phoneticPr fontId="3"/>
  <pageMargins left="0.19685039370078741" right="0.19685039370078741" top="0.19685039370078741" bottom="0.19685039370078741" header="0" footer="0"/>
  <pageSetup paperSize="9" scale="63" orientation="landscape" r:id="rId1"/>
  <headerFooter>
    <oddFooter>&amp;R&amp;D&amp;T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7474-72FE-4011-9A96-5B219370197B}">
  <sheetPr>
    <pageSetUpPr fitToPage="1"/>
  </sheetPr>
  <dimension ref="A1:AE49"/>
  <sheetViews>
    <sheetView zoomScale="56" zoomScaleNormal="56" workbookViewId="0">
      <selection activeCell="E29" sqref="E29:N34"/>
    </sheetView>
  </sheetViews>
  <sheetFormatPr defaultRowHeight="18"/>
  <cols>
    <col min="1" max="1" width="3.58203125" customWidth="1"/>
    <col min="2" max="2" width="8.58203125" customWidth="1"/>
    <col min="3" max="3" width="6.58203125" customWidth="1"/>
    <col min="4" max="4" width="2.58203125" customWidth="1"/>
    <col min="5" max="14" width="7.08203125" customWidth="1"/>
    <col min="15" max="17" width="5.58203125" customWidth="1"/>
    <col min="18" max="18" width="6.58203125" customWidth="1"/>
    <col min="19" max="23" width="5.58203125" customWidth="1"/>
    <col min="24" max="25" width="6.58203125" customWidth="1"/>
    <col min="26" max="28" width="7.58203125" customWidth="1"/>
    <col min="29" max="30" width="3.58203125" customWidth="1"/>
    <col min="31" max="31" width="21.58203125" customWidth="1"/>
  </cols>
  <sheetData>
    <row r="1" spans="1:31" ht="18" customHeight="1">
      <c r="A1" s="250" t="s">
        <v>0</v>
      </c>
      <c r="B1" s="251"/>
      <c r="C1" s="251"/>
      <c r="D1" s="251"/>
      <c r="E1" s="251"/>
      <c r="F1" s="252"/>
      <c r="G1" s="253" t="s">
        <v>1</v>
      </c>
      <c r="H1" s="251"/>
      <c r="I1" s="251"/>
      <c r="J1" s="251"/>
      <c r="K1" s="251"/>
      <c r="L1" s="251"/>
      <c r="M1" s="251"/>
      <c r="N1" s="251"/>
      <c r="O1" s="250" t="s">
        <v>2</v>
      </c>
      <c r="P1" s="251"/>
      <c r="Q1" s="252"/>
      <c r="R1" s="216" t="s">
        <v>3</v>
      </c>
      <c r="S1" s="216"/>
      <c r="T1" s="216"/>
      <c r="U1" s="216"/>
      <c r="V1" s="216"/>
      <c r="W1" s="216"/>
      <c r="X1" s="216"/>
      <c r="Y1" s="216"/>
      <c r="Z1" s="216" t="s">
        <v>4</v>
      </c>
      <c r="AA1" s="216"/>
      <c r="AB1" s="216"/>
      <c r="AC1" s="216"/>
      <c r="AD1" s="216"/>
      <c r="AE1" s="216"/>
    </row>
    <row r="2" spans="1:31" ht="8.15" customHeight="1">
      <c r="A2" s="254" t="s">
        <v>86</v>
      </c>
      <c r="B2" s="255"/>
      <c r="C2" s="255"/>
      <c r="D2" s="255"/>
      <c r="E2" s="255"/>
      <c r="F2" s="256"/>
      <c r="G2" s="257" t="s">
        <v>5</v>
      </c>
      <c r="H2" s="258"/>
      <c r="I2" s="258"/>
      <c r="J2" s="258"/>
      <c r="K2" s="258"/>
      <c r="L2" s="258"/>
      <c r="M2" s="258"/>
      <c r="N2" s="259"/>
      <c r="O2" s="263" t="s">
        <v>87</v>
      </c>
      <c r="P2" s="264"/>
      <c r="Q2" s="265"/>
      <c r="R2" s="232" t="s">
        <v>6</v>
      </c>
      <c r="S2" s="235" t="s">
        <v>44</v>
      </c>
      <c r="T2" s="236"/>
      <c r="U2" s="236"/>
      <c r="V2" s="236"/>
      <c r="W2" s="236"/>
      <c r="X2" s="236"/>
      <c r="Y2" s="237"/>
      <c r="Z2" s="217" t="s">
        <v>72</v>
      </c>
      <c r="AA2" s="218"/>
      <c r="AB2" s="218"/>
      <c r="AC2" s="218"/>
      <c r="AD2" s="218"/>
      <c r="AE2" s="219"/>
    </row>
    <row r="3" spans="1:31" ht="8.15" customHeight="1">
      <c r="A3" s="254"/>
      <c r="B3" s="255"/>
      <c r="C3" s="255"/>
      <c r="D3" s="255"/>
      <c r="E3" s="255"/>
      <c r="F3" s="256"/>
      <c r="G3" s="260"/>
      <c r="H3" s="261"/>
      <c r="I3" s="261"/>
      <c r="J3" s="261"/>
      <c r="K3" s="261"/>
      <c r="L3" s="261"/>
      <c r="M3" s="261"/>
      <c r="N3" s="262"/>
      <c r="O3" s="266"/>
      <c r="P3" s="267"/>
      <c r="Q3" s="268"/>
      <c r="R3" s="233"/>
      <c r="S3" s="238"/>
      <c r="T3" s="238"/>
      <c r="U3" s="238"/>
      <c r="V3" s="238"/>
      <c r="W3" s="238"/>
      <c r="X3" s="238"/>
      <c r="Y3" s="239"/>
      <c r="Z3" s="220"/>
      <c r="AA3" s="221"/>
      <c r="AB3" s="221"/>
      <c r="AC3" s="221"/>
      <c r="AD3" s="221"/>
      <c r="AE3" s="222"/>
    </row>
    <row r="4" spans="1:31" ht="8.15" customHeight="1">
      <c r="A4" s="254"/>
      <c r="B4" s="255"/>
      <c r="C4" s="255"/>
      <c r="D4" s="255"/>
      <c r="E4" s="255"/>
      <c r="F4" s="256"/>
      <c r="G4" s="260"/>
      <c r="H4" s="261"/>
      <c r="I4" s="261"/>
      <c r="J4" s="261"/>
      <c r="K4" s="261"/>
      <c r="L4" s="261"/>
      <c r="M4" s="261"/>
      <c r="N4" s="262"/>
      <c r="O4" s="266"/>
      <c r="P4" s="267"/>
      <c r="Q4" s="268"/>
      <c r="R4" s="233"/>
      <c r="S4" s="238"/>
      <c r="T4" s="238"/>
      <c r="U4" s="238"/>
      <c r="V4" s="238"/>
      <c r="W4" s="238"/>
      <c r="X4" s="238"/>
      <c r="Y4" s="239"/>
      <c r="Z4" s="220"/>
      <c r="AA4" s="221"/>
      <c r="AB4" s="221"/>
      <c r="AC4" s="221"/>
      <c r="AD4" s="221"/>
      <c r="AE4" s="222"/>
    </row>
    <row r="5" spans="1:31" ht="8.15" customHeight="1">
      <c r="A5" s="254"/>
      <c r="B5" s="255"/>
      <c r="C5" s="255"/>
      <c r="D5" s="255"/>
      <c r="E5" s="255"/>
      <c r="F5" s="256"/>
      <c r="G5" s="226" t="s">
        <v>38</v>
      </c>
      <c r="H5" s="227"/>
      <c r="I5" s="227"/>
      <c r="J5" s="227"/>
      <c r="K5" s="227"/>
      <c r="L5" s="227"/>
      <c r="M5" s="227"/>
      <c r="N5" s="228"/>
      <c r="O5" s="266"/>
      <c r="P5" s="267"/>
      <c r="Q5" s="268"/>
      <c r="R5" s="234"/>
      <c r="S5" s="240"/>
      <c r="T5" s="240"/>
      <c r="U5" s="240"/>
      <c r="V5" s="240"/>
      <c r="W5" s="240"/>
      <c r="X5" s="240"/>
      <c r="Y5" s="241"/>
      <c r="Z5" s="220"/>
      <c r="AA5" s="221"/>
      <c r="AB5" s="221"/>
      <c r="AC5" s="221"/>
      <c r="AD5" s="221"/>
      <c r="AE5" s="222"/>
    </row>
    <row r="6" spans="1:31" ht="8.15" customHeight="1">
      <c r="A6" s="254"/>
      <c r="B6" s="255"/>
      <c r="C6" s="255"/>
      <c r="D6" s="255"/>
      <c r="E6" s="255"/>
      <c r="F6" s="256"/>
      <c r="G6" s="226"/>
      <c r="H6" s="227"/>
      <c r="I6" s="227"/>
      <c r="J6" s="227"/>
      <c r="K6" s="227"/>
      <c r="L6" s="227"/>
      <c r="M6" s="227"/>
      <c r="N6" s="228"/>
      <c r="O6" s="266"/>
      <c r="P6" s="267"/>
      <c r="Q6" s="268"/>
      <c r="R6" s="232" t="s">
        <v>7</v>
      </c>
      <c r="S6" s="235" t="s">
        <v>45</v>
      </c>
      <c r="T6" s="236"/>
      <c r="U6" s="236"/>
      <c r="V6" s="236"/>
      <c r="W6" s="236"/>
      <c r="X6" s="236"/>
      <c r="Y6" s="237"/>
      <c r="Z6" s="223"/>
      <c r="AA6" s="224"/>
      <c r="AB6" s="224"/>
      <c r="AC6" s="224"/>
      <c r="AD6" s="224"/>
      <c r="AE6" s="225"/>
    </row>
    <row r="7" spans="1:31" ht="8.15" customHeight="1">
      <c r="A7" s="254"/>
      <c r="B7" s="255"/>
      <c r="C7" s="255"/>
      <c r="D7" s="255"/>
      <c r="E7" s="255"/>
      <c r="F7" s="256"/>
      <c r="G7" s="226"/>
      <c r="H7" s="227"/>
      <c r="I7" s="227"/>
      <c r="J7" s="227"/>
      <c r="K7" s="227"/>
      <c r="L7" s="227"/>
      <c r="M7" s="227"/>
      <c r="N7" s="228"/>
      <c r="O7" s="266"/>
      <c r="P7" s="267"/>
      <c r="Q7" s="268"/>
      <c r="R7" s="233"/>
      <c r="S7" s="238"/>
      <c r="T7" s="238"/>
      <c r="U7" s="238"/>
      <c r="V7" s="238"/>
      <c r="W7" s="238"/>
      <c r="X7" s="238"/>
      <c r="Y7" s="239"/>
      <c r="Z7" s="242" t="s">
        <v>71</v>
      </c>
      <c r="AA7" s="243"/>
      <c r="AB7" s="243"/>
      <c r="AC7" s="243"/>
      <c r="AD7" s="243"/>
      <c r="AE7" s="244"/>
    </row>
    <row r="8" spans="1:31" ht="8.15" customHeight="1">
      <c r="A8" s="254"/>
      <c r="B8" s="255"/>
      <c r="C8" s="255"/>
      <c r="D8" s="255"/>
      <c r="E8" s="255"/>
      <c r="F8" s="256"/>
      <c r="G8" s="226"/>
      <c r="H8" s="227"/>
      <c r="I8" s="227"/>
      <c r="J8" s="227"/>
      <c r="K8" s="227"/>
      <c r="L8" s="227"/>
      <c r="M8" s="227"/>
      <c r="N8" s="228"/>
      <c r="O8" s="266"/>
      <c r="P8" s="267"/>
      <c r="Q8" s="268"/>
      <c r="R8" s="233"/>
      <c r="S8" s="238"/>
      <c r="T8" s="238"/>
      <c r="U8" s="238"/>
      <c r="V8" s="238"/>
      <c r="W8" s="238"/>
      <c r="X8" s="238"/>
      <c r="Y8" s="239"/>
      <c r="Z8" s="220"/>
      <c r="AA8" s="221"/>
      <c r="AB8" s="221"/>
      <c r="AC8" s="221"/>
      <c r="AD8" s="221"/>
      <c r="AE8" s="222"/>
    </row>
    <row r="9" spans="1:31" ht="8.15" customHeight="1">
      <c r="A9" s="254"/>
      <c r="B9" s="255"/>
      <c r="C9" s="255"/>
      <c r="D9" s="255"/>
      <c r="E9" s="255"/>
      <c r="F9" s="256"/>
      <c r="G9" s="229"/>
      <c r="H9" s="230"/>
      <c r="I9" s="230"/>
      <c r="J9" s="230"/>
      <c r="K9" s="230"/>
      <c r="L9" s="230"/>
      <c r="M9" s="230"/>
      <c r="N9" s="231"/>
      <c r="O9" s="269"/>
      <c r="P9" s="270"/>
      <c r="Q9" s="271"/>
      <c r="R9" s="234"/>
      <c r="S9" s="240"/>
      <c r="T9" s="240"/>
      <c r="U9" s="240"/>
      <c r="V9" s="240"/>
      <c r="W9" s="240"/>
      <c r="X9" s="240"/>
      <c r="Y9" s="241"/>
      <c r="Z9" s="245"/>
      <c r="AA9" s="246"/>
      <c r="AB9" s="246"/>
      <c r="AC9" s="246"/>
      <c r="AD9" s="246"/>
      <c r="AE9" s="247"/>
    </row>
    <row r="10" spans="1:31">
      <c r="A10" s="206" t="s">
        <v>8</v>
      </c>
      <c r="B10" s="207"/>
      <c r="C10" s="208" t="s">
        <v>9</v>
      </c>
      <c r="D10" s="208"/>
      <c r="E10" s="209" t="s">
        <v>10</v>
      </c>
      <c r="F10" s="209"/>
      <c r="G10" s="210"/>
      <c r="H10" s="210"/>
      <c r="I10" s="210"/>
      <c r="J10" s="210"/>
      <c r="K10" s="210"/>
      <c r="L10" s="210"/>
      <c r="M10" s="210"/>
      <c r="N10" s="211"/>
      <c r="O10" s="212" t="s">
        <v>11</v>
      </c>
      <c r="P10" s="213"/>
      <c r="Q10" s="214"/>
      <c r="R10" s="215" t="s">
        <v>12</v>
      </c>
      <c r="S10" s="215"/>
      <c r="T10" s="215"/>
      <c r="U10" s="215"/>
      <c r="V10" s="215"/>
      <c r="W10" s="215"/>
      <c r="X10" s="215"/>
      <c r="Y10" s="207"/>
      <c r="Z10" s="216" t="s">
        <v>13</v>
      </c>
      <c r="AA10" s="216"/>
      <c r="AB10" s="216"/>
      <c r="AC10" s="216"/>
      <c r="AD10" s="216"/>
      <c r="AE10" s="216"/>
    </row>
    <row r="11" spans="1:31" ht="11.15" customHeight="1">
      <c r="A11" s="101">
        <v>1</v>
      </c>
      <c r="B11" s="105">
        <v>46252</v>
      </c>
      <c r="C11" s="106" t="s">
        <v>43</v>
      </c>
      <c r="D11" s="106"/>
      <c r="E11" s="188" t="s">
        <v>57</v>
      </c>
      <c r="F11" s="110"/>
      <c r="G11" s="110"/>
      <c r="H11" s="110"/>
      <c r="I11" s="110"/>
      <c r="J11" s="110"/>
      <c r="K11" s="110"/>
      <c r="L11" s="110"/>
      <c r="M11" s="110"/>
      <c r="N11" s="111"/>
      <c r="O11" s="189"/>
      <c r="P11" s="190"/>
      <c r="Q11" s="191"/>
      <c r="R11" s="160" t="s">
        <v>41</v>
      </c>
      <c r="S11" s="125"/>
      <c r="T11" s="125"/>
      <c r="U11" s="125"/>
      <c r="V11" s="125"/>
      <c r="W11" s="126"/>
      <c r="X11" s="161" t="s">
        <v>64</v>
      </c>
      <c r="Y11" s="161"/>
      <c r="Z11" s="198" t="s">
        <v>14</v>
      </c>
      <c r="AA11" s="199"/>
      <c r="AB11" s="200"/>
      <c r="AC11" s="201" t="s">
        <v>25</v>
      </c>
      <c r="AD11" s="202"/>
      <c r="AE11" s="203"/>
    </row>
    <row r="12" spans="1:31" ht="11.15" customHeight="1">
      <c r="A12" s="102"/>
      <c r="B12" s="105"/>
      <c r="C12" s="107"/>
      <c r="D12" s="107"/>
      <c r="E12" s="112"/>
      <c r="F12" s="113"/>
      <c r="G12" s="113"/>
      <c r="H12" s="113"/>
      <c r="I12" s="113"/>
      <c r="J12" s="113"/>
      <c r="K12" s="113"/>
      <c r="L12" s="113"/>
      <c r="M12" s="113"/>
      <c r="N12" s="114"/>
      <c r="O12" s="192"/>
      <c r="P12" s="193"/>
      <c r="Q12" s="194"/>
      <c r="R12" s="127"/>
      <c r="S12" s="128"/>
      <c r="T12" s="128"/>
      <c r="U12" s="128"/>
      <c r="V12" s="128"/>
      <c r="W12" s="129"/>
      <c r="X12" s="162"/>
      <c r="Y12" s="162"/>
      <c r="Z12" s="147"/>
      <c r="AA12" s="148"/>
      <c r="AB12" s="149"/>
      <c r="AC12" s="100"/>
      <c r="AD12" s="90"/>
      <c r="AE12" s="93"/>
    </row>
    <row r="13" spans="1:31" ht="11.15" customHeight="1">
      <c r="A13" s="102"/>
      <c r="B13" s="105"/>
      <c r="C13" s="107"/>
      <c r="D13" s="107"/>
      <c r="E13" s="112"/>
      <c r="F13" s="113"/>
      <c r="G13" s="113"/>
      <c r="H13" s="113"/>
      <c r="I13" s="113"/>
      <c r="J13" s="113"/>
      <c r="K13" s="113"/>
      <c r="L13" s="113"/>
      <c r="M13" s="113"/>
      <c r="N13" s="114"/>
      <c r="O13" s="192"/>
      <c r="P13" s="193"/>
      <c r="Q13" s="194"/>
      <c r="R13" s="127"/>
      <c r="S13" s="128"/>
      <c r="T13" s="128"/>
      <c r="U13" s="128"/>
      <c r="V13" s="128"/>
      <c r="W13" s="129"/>
      <c r="X13" s="162"/>
      <c r="Y13" s="162"/>
      <c r="Z13" s="147" t="s">
        <v>26</v>
      </c>
      <c r="AA13" s="148"/>
      <c r="AB13" s="149"/>
      <c r="AC13" s="89" t="s">
        <v>25</v>
      </c>
      <c r="AD13" s="90"/>
      <c r="AE13" s="93"/>
    </row>
    <row r="14" spans="1:31" ht="11.15" customHeight="1">
      <c r="A14" s="102"/>
      <c r="B14" s="105"/>
      <c r="C14" s="107"/>
      <c r="D14" s="107"/>
      <c r="E14" s="112"/>
      <c r="F14" s="113"/>
      <c r="G14" s="113"/>
      <c r="H14" s="113"/>
      <c r="I14" s="113"/>
      <c r="J14" s="113"/>
      <c r="K14" s="113"/>
      <c r="L14" s="113"/>
      <c r="M14" s="113"/>
      <c r="N14" s="114"/>
      <c r="O14" s="192"/>
      <c r="P14" s="193"/>
      <c r="Q14" s="194"/>
      <c r="R14" s="130"/>
      <c r="S14" s="131"/>
      <c r="T14" s="131"/>
      <c r="U14" s="131"/>
      <c r="V14" s="131"/>
      <c r="W14" s="132"/>
      <c r="X14" s="162"/>
      <c r="Y14" s="162"/>
      <c r="Z14" s="147"/>
      <c r="AA14" s="148"/>
      <c r="AB14" s="149"/>
      <c r="AC14" s="100"/>
      <c r="AD14" s="90"/>
      <c r="AE14" s="93"/>
    </row>
    <row r="15" spans="1:31" ht="11.15" customHeight="1">
      <c r="A15" s="102"/>
      <c r="B15" s="74" t="str">
        <f>TEXT(B11,"(aaa)")</f>
        <v>(火)</v>
      </c>
      <c r="C15" s="107"/>
      <c r="D15" s="107"/>
      <c r="E15" s="112"/>
      <c r="F15" s="113"/>
      <c r="G15" s="113"/>
      <c r="H15" s="113"/>
      <c r="I15" s="113"/>
      <c r="J15" s="113"/>
      <c r="K15" s="113"/>
      <c r="L15" s="113"/>
      <c r="M15" s="113"/>
      <c r="N15" s="114"/>
      <c r="O15" s="192"/>
      <c r="P15" s="193"/>
      <c r="Q15" s="194"/>
      <c r="R15" s="145" t="s">
        <v>37</v>
      </c>
      <c r="S15" s="78" t="s">
        <v>42</v>
      </c>
      <c r="T15" s="79"/>
      <c r="U15" s="79"/>
      <c r="V15" s="79"/>
      <c r="W15" s="80"/>
      <c r="X15" s="162"/>
      <c r="Y15" s="162"/>
      <c r="Z15" s="147" t="s">
        <v>78</v>
      </c>
      <c r="AA15" s="148"/>
      <c r="AB15" s="149"/>
      <c r="AC15" s="153">
        <v>0.77083333333333337</v>
      </c>
      <c r="AD15" s="90"/>
      <c r="AE15" s="93" t="s">
        <v>79</v>
      </c>
    </row>
    <row r="16" spans="1:31" ht="11.15" customHeight="1">
      <c r="A16" s="103"/>
      <c r="B16" s="75"/>
      <c r="C16" s="108"/>
      <c r="D16" s="108"/>
      <c r="E16" s="177"/>
      <c r="F16" s="178"/>
      <c r="G16" s="178"/>
      <c r="H16" s="178"/>
      <c r="I16" s="178"/>
      <c r="J16" s="178"/>
      <c r="K16" s="178"/>
      <c r="L16" s="178"/>
      <c r="M16" s="178"/>
      <c r="N16" s="179"/>
      <c r="O16" s="195"/>
      <c r="P16" s="196"/>
      <c r="Q16" s="197"/>
      <c r="R16" s="146"/>
      <c r="S16" s="81"/>
      <c r="T16" s="82"/>
      <c r="U16" s="82"/>
      <c r="V16" s="82"/>
      <c r="W16" s="77"/>
      <c r="X16" s="163"/>
      <c r="Y16" s="163"/>
      <c r="Z16" s="150"/>
      <c r="AA16" s="151"/>
      <c r="AB16" s="152"/>
      <c r="AC16" s="91"/>
      <c r="AD16" s="92"/>
      <c r="AE16" s="94"/>
    </row>
    <row r="17" spans="1:31" ht="11.15" customHeight="1">
      <c r="A17" s="101">
        <v>2</v>
      </c>
      <c r="B17" s="104">
        <f>B11+1</f>
        <v>46253</v>
      </c>
      <c r="C17" s="106" t="s">
        <v>43</v>
      </c>
      <c r="D17" s="106"/>
      <c r="E17" s="109" t="s">
        <v>62</v>
      </c>
      <c r="F17" s="110"/>
      <c r="G17" s="110"/>
      <c r="H17" s="110"/>
      <c r="I17" s="110"/>
      <c r="J17" s="110"/>
      <c r="K17" s="110"/>
      <c r="L17" s="110"/>
      <c r="M17" s="110"/>
      <c r="N17" s="111"/>
      <c r="O17" s="180" t="s">
        <v>65</v>
      </c>
      <c r="P17" s="181"/>
      <c r="Q17" s="182"/>
      <c r="R17" s="160" t="s">
        <v>41</v>
      </c>
      <c r="S17" s="125"/>
      <c r="T17" s="125"/>
      <c r="U17" s="125"/>
      <c r="V17" s="125"/>
      <c r="W17" s="126"/>
      <c r="X17" s="161" t="s">
        <v>64</v>
      </c>
      <c r="Y17" s="161"/>
      <c r="Z17" s="164" t="s">
        <v>15</v>
      </c>
      <c r="AA17" s="165"/>
      <c r="AB17" s="166"/>
      <c r="AC17" s="167">
        <v>0.27083333333333331</v>
      </c>
      <c r="AD17" s="168"/>
      <c r="AE17" s="169"/>
    </row>
    <row r="18" spans="1:31" ht="11.15" customHeight="1">
      <c r="A18" s="102"/>
      <c r="B18" s="105"/>
      <c r="C18" s="107"/>
      <c r="D18" s="107"/>
      <c r="E18" s="112"/>
      <c r="F18" s="113"/>
      <c r="G18" s="113"/>
      <c r="H18" s="113"/>
      <c r="I18" s="113"/>
      <c r="J18" s="113"/>
      <c r="K18" s="113"/>
      <c r="L18" s="113"/>
      <c r="M18" s="113"/>
      <c r="N18" s="114"/>
      <c r="O18" s="183"/>
      <c r="P18" s="184"/>
      <c r="Q18" s="185"/>
      <c r="R18" s="127"/>
      <c r="S18" s="128"/>
      <c r="T18" s="128"/>
      <c r="U18" s="128"/>
      <c r="V18" s="128"/>
      <c r="W18" s="129"/>
      <c r="X18" s="162"/>
      <c r="Y18" s="162"/>
      <c r="Z18" s="147"/>
      <c r="AA18" s="148"/>
      <c r="AB18" s="149"/>
      <c r="AC18" s="100"/>
      <c r="AD18" s="90"/>
      <c r="AE18" s="93"/>
    </row>
    <row r="19" spans="1:31" ht="11.15" customHeight="1">
      <c r="A19" s="102"/>
      <c r="B19" s="105"/>
      <c r="C19" s="107"/>
      <c r="D19" s="107"/>
      <c r="E19" s="112"/>
      <c r="F19" s="113"/>
      <c r="G19" s="113"/>
      <c r="H19" s="113"/>
      <c r="I19" s="113"/>
      <c r="J19" s="113"/>
      <c r="K19" s="113"/>
      <c r="L19" s="113"/>
      <c r="M19" s="113"/>
      <c r="N19" s="114"/>
      <c r="O19" s="183"/>
      <c r="P19" s="184"/>
      <c r="Q19" s="185"/>
      <c r="R19" s="127"/>
      <c r="S19" s="128"/>
      <c r="T19" s="128"/>
      <c r="U19" s="128"/>
      <c r="V19" s="128"/>
      <c r="W19" s="129"/>
      <c r="X19" s="162"/>
      <c r="Y19" s="162"/>
      <c r="Z19" s="147" t="s">
        <v>75</v>
      </c>
      <c r="AA19" s="148"/>
      <c r="AB19" s="149"/>
      <c r="AC19" s="153">
        <v>0.52083333333333337</v>
      </c>
      <c r="AD19" s="90"/>
      <c r="AE19" s="174" t="s">
        <v>77</v>
      </c>
    </row>
    <row r="20" spans="1:31" ht="11.15" customHeight="1">
      <c r="A20" s="102"/>
      <c r="B20" s="105"/>
      <c r="C20" s="107"/>
      <c r="D20" s="107"/>
      <c r="E20" s="112"/>
      <c r="F20" s="113"/>
      <c r="G20" s="113"/>
      <c r="H20" s="113"/>
      <c r="I20" s="113"/>
      <c r="J20" s="113"/>
      <c r="K20" s="113"/>
      <c r="L20" s="113"/>
      <c r="M20" s="113"/>
      <c r="N20" s="114"/>
      <c r="O20" s="183"/>
      <c r="P20" s="184"/>
      <c r="Q20" s="185"/>
      <c r="R20" s="130"/>
      <c r="S20" s="131"/>
      <c r="T20" s="131"/>
      <c r="U20" s="131"/>
      <c r="V20" s="131"/>
      <c r="W20" s="132"/>
      <c r="X20" s="162"/>
      <c r="Y20" s="162"/>
      <c r="Z20" s="147"/>
      <c r="AA20" s="148"/>
      <c r="AB20" s="149"/>
      <c r="AC20" s="100"/>
      <c r="AD20" s="90"/>
      <c r="AE20" s="93"/>
    </row>
    <row r="21" spans="1:31" ht="11.15" customHeight="1">
      <c r="A21" s="102"/>
      <c r="B21" s="74" t="str">
        <f>TEXT(B17,"(aaa)")</f>
        <v>(水)</v>
      </c>
      <c r="C21" s="107"/>
      <c r="D21" s="107"/>
      <c r="E21" s="112"/>
      <c r="F21" s="113"/>
      <c r="G21" s="113"/>
      <c r="H21" s="113"/>
      <c r="I21" s="113"/>
      <c r="J21" s="113"/>
      <c r="K21" s="113"/>
      <c r="L21" s="113"/>
      <c r="M21" s="113"/>
      <c r="N21" s="114"/>
      <c r="O21" s="183"/>
      <c r="P21" s="184"/>
      <c r="Q21" s="185"/>
      <c r="R21" s="145" t="s">
        <v>37</v>
      </c>
      <c r="S21" s="78" t="s">
        <v>42</v>
      </c>
      <c r="T21" s="79"/>
      <c r="U21" s="79"/>
      <c r="V21" s="79"/>
      <c r="W21" s="80"/>
      <c r="X21" s="162"/>
      <c r="Y21" s="162"/>
      <c r="Z21" s="147" t="s">
        <v>78</v>
      </c>
      <c r="AA21" s="148"/>
      <c r="AB21" s="149"/>
      <c r="AC21" s="153">
        <v>0.79166666666666663</v>
      </c>
      <c r="AD21" s="90"/>
      <c r="AE21" s="93" t="s">
        <v>79</v>
      </c>
    </row>
    <row r="22" spans="1:31" ht="11.15" customHeight="1">
      <c r="A22" s="103"/>
      <c r="B22" s="75"/>
      <c r="C22" s="108"/>
      <c r="D22" s="108"/>
      <c r="E22" s="177"/>
      <c r="F22" s="178"/>
      <c r="G22" s="178"/>
      <c r="H22" s="178"/>
      <c r="I22" s="178"/>
      <c r="J22" s="178"/>
      <c r="K22" s="178"/>
      <c r="L22" s="178"/>
      <c r="M22" s="178"/>
      <c r="N22" s="179"/>
      <c r="O22" s="183"/>
      <c r="P22" s="184"/>
      <c r="Q22" s="185"/>
      <c r="R22" s="146"/>
      <c r="S22" s="81"/>
      <c r="T22" s="82"/>
      <c r="U22" s="82"/>
      <c r="V22" s="82"/>
      <c r="W22" s="77"/>
      <c r="X22" s="163"/>
      <c r="Y22" s="163"/>
      <c r="Z22" s="150"/>
      <c r="AA22" s="151"/>
      <c r="AB22" s="152"/>
      <c r="AC22" s="91"/>
      <c r="AD22" s="92"/>
      <c r="AE22" s="94"/>
    </row>
    <row r="23" spans="1:31" ht="11.15" customHeight="1">
      <c r="A23" s="101">
        <v>3</v>
      </c>
      <c r="B23" s="104">
        <f>B17+1</f>
        <v>46254</v>
      </c>
      <c r="C23" s="106" t="s">
        <v>92</v>
      </c>
      <c r="D23" s="106"/>
      <c r="E23" s="170" t="s">
        <v>93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71" t="s">
        <v>94</v>
      </c>
      <c r="P23" s="171"/>
      <c r="Q23" s="171"/>
      <c r="R23" s="327" t="s">
        <v>39</v>
      </c>
      <c r="S23" s="328"/>
      <c r="T23" s="328"/>
      <c r="U23" s="328"/>
      <c r="V23" s="328"/>
      <c r="W23" s="329"/>
      <c r="X23" s="336" t="s">
        <v>28</v>
      </c>
      <c r="Y23" s="336"/>
      <c r="Z23" s="164" t="s">
        <v>15</v>
      </c>
      <c r="AA23" s="165"/>
      <c r="AB23" s="166"/>
      <c r="AC23" s="167">
        <v>0.27083333333333331</v>
      </c>
      <c r="AD23" s="168"/>
      <c r="AE23" s="169"/>
    </row>
    <row r="24" spans="1:31" ht="11.15" customHeight="1">
      <c r="A24" s="102"/>
      <c r="B24" s="105"/>
      <c r="C24" s="107"/>
      <c r="D24" s="107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72"/>
      <c r="P24" s="172"/>
      <c r="Q24" s="172"/>
      <c r="R24" s="330"/>
      <c r="S24" s="331"/>
      <c r="T24" s="331"/>
      <c r="U24" s="331"/>
      <c r="V24" s="331"/>
      <c r="W24" s="332"/>
      <c r="X24" s="337"/>
      <c r="Y24" s="337"/>
      <c r="Z24" s="147"/>
      <c r="AA24" s="148"/>
      <c r="AB24" s="149"/>
      <c r="AC24" s="100"/>
      <c r="AD24" s="90"/>
      <c r="AE24" s="93"/>
    </row>
    <row r="25" spans="1:31" ht="11.15" customHeight="1">
      <c r="A25" s="102"/>
      <c r="B25" s="105"/>
      <c r="C25" s="107"/>
      <c r="D25" s="107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72"/>
      <c r="P25" s="172"/>
      <c r="Q25" s="172"/>
      <c r="R25" s="330"/>
      <c r="S25" s="331"/>
      <c r="T25" s="331"/>
      <c r="U25" s="331"/>
      <c r="V25" s="331"/>
      <c r="W25" s="332"/>
      <c r="X25" s="337"/>
      <c r="Y25" s="337"/>
      <c r="Z25" s="275" t="s">
        <v>81</v>
      </c>
      <c r="AA25" s="276"/>
      <c r="AB25" s="277"/>
      <c r="AC25" s="300">
        <v>0.58333333333333337</v>
      </c>
      <c r="AD25" s="281"/>
      <c r="AE25" s="283" t="s">
        <v>82</v>
      </c>
    </row>
    <row r="26" spans="1:31" ht="11.15" customHeight="1">
      <c r="A26" s="102"/>
      <c r="B26" s="105"/>
      <c r="C26" s="107"/>
      <c r="D26" s="10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72"/>
      <c r="P26" s="172"/>
      <c r="Q26" s="172"/>
      <c r="R26" s="333"/>
      <c r="S26" s="334"/>
      <c r="T26" s="334"/>
      <c r="U26" s="334"/>
      <c r="V26" s="334"/>
      <c r="W26" s="335"/>
      <c r="X26" s="337"/>
      <c r="Y26" s="337"/>
      <c r="Z26" s="275"/>
      <c r="AA26" s="276"/>
      <c r="AB26" s="277"/>
      <c r="AC26" s="280"/>
      <c r="AD26" s="281"/>
      <c r="AE26" s="283"/>
    </row>
    <row r="27" spans="1:31" ht="11.15" customHeight="1">
      <c r="A27" s="102"/>
      <c r="B27" s="74" t="str">
        <f>TEXT(B23,"(aaa)")</f>
        <v>(木)</v>
      </c>
      <c r="C27" s="107"/>
      <c r="D27" s="10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72"/>
      <c r="P27" s="172"/>
      <c r="Q27" s="172"/>
      <c r="R27" s="289" t="s">
        <v>36</v>
      </c>
      <c r="S27" s="291" t="s">
        <v>40</v>
      </c>
      <c r="T27" s="292"/>
      <c r="U27" s="292"/>
      <c r="V27" s="292"/>
      <c r="W27" s="293"/>
      <c r="X27" s="337"/>
      <c r="Y27" s="337"/>
      <c r="Z27" s="275" t="s">
        <v>53</v>
      </c>
      <c r="AA27" s="276"/>
      <c r="AB27" s="277"/>
      <c r="AC27" s="300">
        <v>0.8125</v>
      </c>
      <c r="AD27" s="281"/>
      <c r="AE27" s="283" t="s">
        <v>54</v>
      </c>
    </row>
    <row r="28" spans="1:31" ht="11.15" customHeight="1">
      <c r="A28" s="103"/>
      <c r="B28" s="75"/>
      <c r="C28" s="108"/>
      <c r="D28" s="108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73"/>
      <c r="P28" s="173"/>
      <c r="Q28" s="173"/>
      <c r="R28" s="290"/>
      <c r="S28" s="294"/>
      <c r="T28" s="295"/>
      <c r="U28" s="295"/>
      <c r="V28" s="295"/>
      <c r="W28" s="296"/>
      <c r="X28" s="338"/>
      <c r="Y28" s="338"/>
      <c r="Z28" s="297"/>
      <c r="AA28" s="298"/>
      <c r="AB28" s="299"/>
      <c r="AC28" s="301"/>
      <c r="AD28" s="302"/>
      <c r="AE28" s="303"/>
    </row>
    <row r="29" spans="1:31" ht="11.15" customHeight="1">
      <c r="A29" s="305">
        <v>4</v>
      </c>
      <c r="B29" s="308">
        <f>B23+1</f>
        <v>46255</v>
      </c>
      <c r="C29" s="284" t="s">
        <v>59</v>
      </c>
      <c r="D29" s="284"/>
      <c r="E29" s="362" t="s">
        <v>88</v>
      </c>
      <c r="F29" s="362"/>
      <c r="G29" s="362"/>
      <c r="H29" s="362"/>
      <c r="I29" s="362"/>
      <c r="J29" s="362"/>
      <c r="K29" s="362"/>
      <c r="L29" s="362"/>
      <c r="M29" s="362"/>
      <c r="N29" s="362"/>
      <c r="O29" s="365" t="s">
        <v>90</v>
      </c>
      <c r="P29" s="365"/>
      <c r="Q29" s="365"/>
      <c r="R29" s="327" t="s">
        <v>39</v>
      </c>
      <c r="S29" s="328"/>
      <c r="T29" s="328"/>
      <c r="U29" s="328"/>
      <c r="V29" s="328"/>
      <c r="W29" s="329"/>
      <c r="X29" s="336" t="s">
        <v>28</v>
      </c>
      <c r="Y29" s="336"/>
      <c r="Z29" s="272" t="s">
        <v>15</v>
      </c>
      <c r="AA29" s="273"/>
      <c r="AB29" s="274"/>
      <c r="AC29" s="278">
        <v>0.29166666666666669</v>
      </c>
      <c r="AD29" s="279"/>
      <c r="AE29" s="282"/>
    </row>
    <row r="30" spans="1:31" ht="11.15" customHeight="1">
      <c r="A30" s="306"/>
      <c r="B30" s="309"/>
      <c r="C30" s="310"/>
      <c r="D30" s="310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6"/>
      <c r="P30" s="366"/>
      <c r="Q30" s="366"/>
      <c r="R30" s="330"/>
      <c r="S30" s="331"/>
      <c r="T30" s="331"/>
      <c r="U30" s="331"/>
      <c r="V30" s="331"/>
      <c r="W30" s="332"/>
      <c r="X30" s="337"/>
      <c r="Y30" s="337"/>
      <c r="Z30" s="275"/>
      <c r="AA30" s="276"/>
      <c r="AB30" s="277"/>
      <c r="AC30" s="280"/>
      <c r="AD30" s="281"/>
      <c r="AE30" s="283"/>
    </row>
    <row r="31" spans="1:31" ht="11.15" customHeight="1">
      <c r="A31" s="306"/>
      <c r="B31" s="309"/>
      <c r="C31" s="310"/>
      <c r="D31" s="310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6"/>
      <c r="P31" s="366"/>
      <c r="Q31" s="366"/>
      <c r="R31" s="330"/>
      <c r="S31" s="331"/>
      <c r="T31" s="331"/>
      <c r="U31" s="331"/>
      <c r="V31" s="331"/>
      <c r="W31" s="332"/>
      <c r="X31" s="337"/>
      <c r="Y31" s="337"/>
      <c r="Z31" s="275" t="s">
        <v>73</v>
      </c>
      <c r="AA31" s="276"/>
      <c r="AB31" s="277"/>
      <c r="AC31" s="300">
        <v>0.54166666666666663</v>
      </c>
      <c r="AD31" s="281"/>
      <c r="AE31" s="283" t="s">
        <v>54</v>
      </c>
    </row>
    <row r="32" spans="1:31" ht="11.15" customHeight="1">
      <c r="A32" s="306"/>
      <c r="B32" s="309"/>
      <c r="C32" s="310"/>
      <c r="D32" s="310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6"/>
      <c r="P32" s="366"/>
      <c r="Q32" s="366"/>
      <c r="R32" s="333"/>
      <c r="S32" s="334"/>
      <c r="T32" s="334"/>
      <c r="U32" s="334"/>
      <c r="V32" s="334"/>
      <c r="W32" s="335"/>
      <c r="X32" s="337"/>
      <c r="Y32" s="337"/>
      <c r="Z32" s="275"/>
      <c r="AA32" s="276"/>
      <c r="AB32" s="277"/>
      <c r="AC32" s="280"/>
      <c r="AD32" s="281"/>
      <c r="AE32" s="283"/>
    </row>
    <row r="33" spans="1:31" ht="11.15" customHeight="1">
      <c r="A33" s="306"/>
      <c r="B33" s="287" t="str">
        <f>TEXT(B29,"(aaa)")</f>
        <v>(金)</v>
      </c>
      <c r="C33" s="310"/>
      <c r="D33" s="310"/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6"/>
      <c r="P33" s="366"/>
      <c r="Q33" s="366"/>
      <c r="R33" s="289" t="s">
        <v>36</v>
      </c>
      <c r="S33" s="291" t="s">
        <v>40</v>
      </c>
      <c r="T33" s="292"/>
      <c r="U33" s="292"/>
      <c r="V33" s="292"/>
      <c r="W33" s="293"/>
      <c r="X33" s="337"/>
      <c r="Y33" s="337"/>
      <c r="Z33" s="275" t="s">
        <v>53</v>
      </c>
      <c r="AA33" s="276"/>
      <c r="AB33" s="277"/>
      <c r="AC33" s="300">
        <v>0.79166666666666663</v>
      </c>
      <c r="AD33" s="281"/>
      <c r="AE33" s="283" t="s">
        <v>54</v>
      </c>
    </row>
    <row r="34" spans="1:31" ht="11.15" customHeight="1">
      <c r="A34" s="307"/>
      <c r="B34" s="288"/>
      <c r="C34" s="311"/>
      <c r="D34" s="311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7"/>
      <c r="P34" s="367"/>
      <c r="Q34" s="367"/>
      <c r="R34" s="290"/>
      <c r="S34" s="294"/>
      <c r="T34" s="295"/>
      <c r="U34" s="295"/>
      <c r="V34" s="295"/>
      <c r="W34" s="296"/>
      <c r="X34" s="338"/>
      <c r="Y34" s="338"/>
      <c r="Z34" s="297"/>
      <c r="AA34" s="298"/>
      <c r="AB34" s="299"/>
      <c r="AC34" s="301"/>
      <c r="AD34" s="302"/>
      <c r="AE34" s="303"/>
    </row>
    <row r="35" spans="1:31" ht="11.15" customHeight="1">
      <c r="A35" s="305">
        <v>5</v>
      </c>
      <c r="B35" s="308">
        <f>B29+1</f>
        <v>46256</v>
      </c>
      <c r="C35" s="284" t="s">
        <v>59</v>
      </c>
      <c r="D35" s="284"/>
      <c r="E35" s="312" t="s">
        <v>91</v>
      </c>
      <c r="F35" s="313"/>
      <c r="G35" s="313"/>
      <c r="H35" s="313"/>
      <c r="I35" s="313"/>
      <c r="J35" s="313"/>
      <c r="K35" s="313"/>
      <c r="L35" s="313"/>
      <c r="M35" s="313"/>
      <c r="N35" s="314"/>
      <c r="O35" s="115"/>
      <c r="P35" s="116"/>
      <c r="Q35" s="117"/>
      <c r="R35" s="357" t="s">
        <v>17</v>
      </c>
      <c r="S35" s="328"/>
      <c r="T35" s="328"/>
      <c r="U35" s="328"/>
      <c r="V35" s="328"/>
      <c r="W35" s="329"/>
      <c r="X35" s="133"/>
      <c r="Y35" s="134"/>
      <c r="Z35" s="272" t="s">
        <v>46</v>
      </c>
      <c r="AA35" s="273"/>
      <c r="AB35" s="274"/>
      <c r="AC35" s="358" t="s">
        <v>47</v>
      </c>
      <c r="AD35" s="359"/>
      <c r="AE35" s="282"/>
    </row>
    <row r="36" spans="1:31" ht="11.15" customHeight="1">
      <c r="A36" s="306"/>
      <c r="B36" s="309"/>
      <c r="C36" s="310"/>
      <c r="D36" s="310"/>
      <c r="E36" s="315"/>
      <c r="F36" s="316"/>
      <c r="G36" s="316"/>
      <c r="H36" s="316"/>
      <c r="I36" s="316"/>
      <c r="J36" s="316"/>
      <c r="K36" s="316"/>
      <c r="L36" s="316"/>
      <c r="M36" s="316"/>
      <c r="N36" s="317"/>
      <c r="O36" s="118"/>
      <c r="P36" s="119"/>
      <c r="Q36" s="120"/>
      <c r="R36" s="330"/>
      <c r="S36" s="331"/>
      <c r="T36" s="331"/>
      <c r="U36" s="331"/>
      <c r="V36" s="331"/>
      <c r="W36" s="332"/>
      <c r="X36" s="135"/>
      <c r="Y36" s="135"/>
      <c r="Z36" s="275"/>
      <c r="AA36" s="276"/>
      <c r="AB36" s="277"/>
      <c r="AC36" s="360"/>
      <c r="AD36" s="361"/>
      <c r="AE36" s="283"/>
    </row>
    <row r="37" spans="1:31" ht="11.15" customHeight="1">
      <c r="A37" s="306"/>
      <c r="B37" s="309"/>
      <c r="C37" s="310"/>
      <c r="D37" s="310"/>
      <c r="E37" s="315"/>
      <c r="F37" s="316"/>
      <c r="G37" s="316"/>
      <c r="H37" s="316"/>
      <c r="I37" s="316"/>
      <c r="J37" s="316"/>
      <c r="K37" s="316"/>
      <c r="L37" s="316"/>
      <c r="M37" s="316"/>
      <c r="N37" s="317"/>
      <c r="O37" s="118"/>
      <c r="P37" s="119"/>
      <c r="Q37" s="120"/>
      <c r="R37" s="330"/>
      <c r="S37" s="331"/>
      <c r="T37" s="331"/>
      <c r="U37" s="331"/>
      <c r="V37" s="331"/>
      <c r="W37" s="332"/>
      <c r="X37" s="136"/>
      <c r="Y37" s="136"/>
      <c r="Z37" s="275" t="s">
        <v>26</v>
      </c>
      <c r="AA37" s="276"/>
      <c r="AB37" s="277"/>
      <c r="AC37" s="339" t="s">
        <v>25</v>
      </c>
      <c r="AD37" s="281"/>
      <c r="AE37" s="283"/>
    </row>
    <row r="38" spans="1:31" ht="11.15" customHeight="1">
      <c r="A38" s="306"/>
      <c r="B38" s="309"/>
      <c r="C38" s="310"/>
      <c r="D38" s="310"/>
      <c r="E38" s="68" t="s">
        <v>32</v>
      </c>
      <c r="F38" s="69"/>
      <c r="G38" s="69"/>
      <c r="H38" s="69"/>
      <c r="I38" s="69"/>
      <c r="J38" s="69"/>
      <c r="K38" s="69"/>
      <c r="L38" s="69"/>
      <c r="M38" s="69"/>
      <c r="N38" s="70"/>
      <c r="O38" s="118"/>
      <c r="P38" s="119"/>
      <c r="Q38" s="120"/>
      <c r="R38" s="333"/>
      <c r="S38" s="334"/>
      <c r="T38" s="334"/>
      <c r="U38" s="334"/>
      <c r="V38" s="334"/>
      <c r="W38" s="335"/>
      <c r="X38" s="136"/>
      <c r="Y38" s="136"/>
      <c r="Z38" s="275"/>
      <c r="AA38" s="276"/>
      <c r="AB38" s="277"/>
      <c r="AC38" s="280"/>
      <c r="AD38" s="281"/>
      <c r="AE38" s="283"/>
    </row>
    <row r="39" spans="1:31" ht="11.15" customHeight="1">
      <c r="A39" s="306"/>
      <c r="B39" s="287" t="str">
        <f>TEXT(B35,"(aaa)")</f>
        <v>(土)</v>
      </c>
      <c r="C39" s="310"/>
      <c r="D39" s="310"/>
      <c r="E39" s="68"/>
      <c r="F39" s="69"/>
      <c r="G39" s="69"/>
      <c r="H39" s="69"/>
      <c r="I39" s="69"/>
      <c r="J39" s="69"/>
      <c r="K39" s="69"/>
      <c r="L39" s="69"/>
      <c r="M39" s="69"/>
      <c r="N39" s="70"/>
      <c r="O39" s="118"/>
      <c r="P39" s="119"/>
      <c r="Q39" s="120"/>
      <c r="R39" s="356"/>
      <c r="S39" s="291"/>
      <c r="T39" s="292"/>
      <c r="U39" s="292"/>
      <c r="V39" s="292"/>
      <c r="W39" s="293"/>
      <c r="X39" s="136"/>
      <c r="Y39" s="136"/>
      <c r="Z39" s="275" t="s">
        <v>27</v>
      </c>
      <c r="AA39" s="276"/>
      <c r="AB39" s="277"/>
      <c r="AC39" s="339" t="s">
        <v>25</v>
      </c>
      <c r="AD39" s="281"/>
      <c r="AE39" s="283"/>
    </row>
    <row r="40" spans="1:31" ht="11.15" customHeight="1">
      <c r="A40" s="307"/>
      <c r="B40" s="288"/>
      <c r="C40" s="311"/>
      <c r="D40" s="311"/>
      <c r="E40" s="71"/>
      <c r="F40" s="72"/>
      <c r="G40" s="72"/>
      <c r="H40" s="72"/>
      <c r="I40" s="72"/>
      <c r="J40" s="72"/>
      <c r="K40" s="72"/>
      <c r="L40" s="72"/>
      <c r="M40" s="72"/>
      <c r="N40" s="73"/>
      <c r="O40" s="121"/>
      <c r="P40" s="122"/>
      <c r="Q40" s="123"/>
      <c r="R40" s="296"/>
      <c r="S40" s="294"/>
      <c r="T40" s="295"/>
      <c r="U40" s="295"/>
      <c r="V40" s="295"/>
      <c r="W40" s="296"/>
      <c r="X40" s="137"/>
      <c r="Y40" s="137"/>
      <c r="Z40" s="297"/>
      <c r="AA40" s="298"/>
      <c r="AB40" s="299"/>
      <c r="AC40" s="301"/>
      <c r="AD40" s="302"/>
      <c r="AE40" s="303"/>
    </row>
    <row r="41" spans="1:31" ht="15" customHeight="1">
      <c r="A41" s="54" t="s">
        <v>31</v>
      </c>
      <c r="B41" s="15"/>
      <c r="C41" s="6"/>
      <c r="D41" s="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"/>
      <c r="P41" s="2"/>
      <c r="Q41" s="2"/>
      <c r="R41" s="17"/>
      <c r="S41" s="18"/>
      <c r="T41" s="18"/>
      <c r="U41" s="19" t="s">
        <v>60</v>
      </c>
      <c r="V41" s="20"/>
      <c r="W41" s="20"/>
      <c r="X41" s="19"/>
      <c r="Y41" s="9"/>
      <c r="Z41" s="21"/>
      <c r="AA41" s="21"/>
      <c r="AB41" s="21"/>
      <c r="AC41" s="22"/>
      <c r="AD41" s="22"/>
      <c r="AE41" s="23"/>
    </row>
    <row r="42" spans="1:31" ht="15" customHeight="1">
      <c r="A42" s="55" t="s">
        <v>23</v>
      </c>
      <c r="B42" s="15"/>
      <c r="C42" s="6"/>
      <c r="D42" s="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"/>
      <c r="P42" s="2"/>
      <c r="Q42" s="2"/>
      <c r="R42" s="17"/>
      <c r="S42" s="18"/>
      <c r="T42" s="18"/>
      <c r="U42" s="25" t="s">
        <v>61</v>
      </c>
      <c r="V42" s="18"/>
      <c r="W42" s="18"/>
      <c r="X42" s="25"/>
      <c r="Y42" s="10"/>
      <c r="Z42" s="26"/>
      <c r="AA42" s="27"/>
      <c r="AB42" s="27"/>
      <c r="AC42" s="28"/>
      <c r="AD42" s="28"/>
      <c r="AE42" s="29"/>
    </row>
    <row r="43" spans="1:31" ht="15" customHeight="1">
      <c r="A43" s="55" t="s">
        <v>24</v>
      </c>
      <c r="B43" s="15"/>
      <c r="C43" s="6"/>
      <c r="D43" s="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"/>
      <c r="P43" s="2"/>
      <c r="Q43" s="2"/>
      <c r="R43" s="17"/>
      <c r="S43" s="18"/>
      <c r="T43" s="18"/>
      <c r="U43" s="37"/>
      <c r="V43" s="30"/>
      <c r="W43" s="30"/>
      <c r="X43" s="25"/>
      <c r="Y43" s="30"/>
      <c r="Z43" s="30"/>
      <c r="AA43" s="30"/>
      <c r="AB43" s="30"/>
      <c r="AC43" s="30"/>
      <c r="AD43" s="30"/>
      <c r="AE43" s="29"/>
    </row>
    <row r="44" spans="1:31" ht="15" customHeight="1">
      <c r="A44" s="24" t="s">
        <v>29</v>
      </c>
      <c r="B44" s="31"/>
      <c r="C44" s="6"/>
      <c r="D44" s="6"/>
      <c r="E44" s="16"/>
      <c r="F44" s="16"/>
      <c r="G44" s="16"/>
      <c r="H44" s="16"/>
      <c r="I44" s="16"/>
      <c r="J44" s="16"/>
      <c r="K44" s="2"/>
      <c r="L44" s="32"/>
      <c r="M44" s="16"/>
      <c r="N44" s="16"/>
      <c r="O44" s="2"/>
      <c r="P44" s="2"/>
      <c r="Q44" s="2"/>
      <c r="R44" s="17"/>
      <c r="S44" s="18"/>
      <c r="T44" s="18"/>
      <c r="U44" s="53" t="s">
        <v>66</v>
      </c>
      <c r="V44" s="18"/>
      <c r="W44" s="30"/>
      <c r="X44" s="30"/>
      <c r="Y44" s="30"/>
      <c r="Z44" s="30"/>
      <c r="AA44" s="30"/>
      <c r="AB44" s="30"/>
      <c r="AC44" s="30"/>
      <c r="AD44" s="30"/>
      <c r="AE44" s="29"/>
    </row>
    <row r="45" spans="1:31" ht="15" customHeight="1">
      <c r="A45" s="51" t="s">
        <v>34</v>
      </c>
      <c r="B45" s="31"/>
      <c r="C45" s="39" t="s">
        <v>69</v>
      </c>
      <c r="D45" s="11"/>
      <c r="E45" s="34"/>
      <c r="F45" s="34"/>
      <c r="G45" s="35"/>
      <c r="J45" s="35" t="s">
        <v>70</v>
      </c>
      <c r="K45" s="50"/>
      <c r="L45" s="36"/>
      <c r="M45" s="2"/>
      <c r="N45" s="17"/>
      <c r="O45" s="18"/>
      <c r="P45" s="39"/>
      <c r="Q45" s="2"/>
      <c r="R45" s="39"/>
      <c r="S45" s="18"/>
      <c r="T45" s="18"/>
      <c r="U45" s="53" t="s">
        <v>67</v>
      </c>
      <c r="V45" s="18"/>
      <c r="W45" s="30"/>
      <c r="X45" s="30"/>
      <c r="Y45" s="30"/>
      <c r="Z45" s="30"/>
      <c r="AA45" s="30"/>
      <c r="AB45" s="30"/>
      <c r="AC45" s="30"/>
      <c r="AD45" s="30"/>
      <c r="AE45" s="38"/>
    </row>
    <row r="46" spans="1:31" ht="15" customHeight="1">
      <c r="A46" s="51" t="s">
        <v>33</v>
      </c>
      <c r="B46" s="31"/>
      <c r="C46" s="39"/>
      <c r="D46" s="6"/>
      <c r="E46" s="16"/>
      <c r="F46" s="16"/>
      <c r="G46" s="16"/>
      <c r="H46" s="32"/>
      <c r="I46" s="16"/>
      <c r="J46" s="16"/>
      <c r="K46" s="16"/>
      <c r="L46" s="16"/>
      <c r="M46" s="16"/>
      <c r="N46" s="16"/>
      <c r="O46" s="2"/>
      <c r="P46" s="40"/>
      <c r="Q46" s="40"/>
      <c r="R46" s="41"/>
      <c r="S46" s="18"/>
      <c r="T46" s="18"/>
      <c r="U46" s="25"/>
      <c r="V46" s="30"/>
      <c r="W46" s="42"/>
      <c r="X46" s="42"/>
      <c r="Y46" s="42"/>
      <c r="Z46" s="42"/>
      <c r="AA46" s="42"/>
      <c r="AB46" s="42"/>
      <c r="AC46" s="42"/>
      <c r="AD46" s="42"/>
      <c r="AE46" s="38"/>
    </row>
    <row r="47" spans="1:31" ht="15" customHeight="1">
      <c r="A47" s="33"/>
      <c r="B47" s="43"/>
      <c r="C47" s="7"/>
      <c r="D47" s="7"/>
      <c r="E47" s="16"/>
      <c r="F47" s="16"/>
      <c r="G47" s="16"/>
      <c r="H47" s="16"/>
      <c r="I47" s="16"/>
      <c r="J47" s="36"/>
      <c r="K47" s="36"/>
      <c r="L47" s="36"/>
      <c r="M47" s="36"/>
      <c r="N47" s="36"/>
      <c r="O47" s="40"/>
      <c r="P47" s="40"/>
      <c r="Q47" s="40"/>
      <c r="R47" s="41"/>
      <c r="S47" s="18"/>
      <c r="T47" s="18"/>
      <c r="U47" s="52" t="s">
        <v>48</v>
      </c>
      <c r="V47" s="18"/>
      <c r="W47" s="30"/>
      <c r="X47" s="30"/>
      <c r="Y47" s="30"/>
      <c r="Z47" s="30"/>
      <c r="AA47" s="30"/>
      <c r="AB47" s="30"/>
      <c r="AC47" s="30"/>
      <c r="AD47" s="30"/>
      <c r="AE47" s="44"/>
    </row>
    <row r="48" spans="1:31" ht="15" customHeight="1">
      <c r="A48" s="24" t="s">
        <v>30</v>
      </c>
      <c r="B48" s="43"/>
      <c r="C48" s="30"/>
      <c r="D48" s="30"/>
      <c r="E48" s="30"/>
      <c r="F48" s="30"/>
      <c r="G48" s="30"/>
      <c r="H48" s="30"/>
      <c r="I48" s="30"/>
      <c r="J48" s="36"/>
      <c r="K48" s="36"/>
      <c r="L48" s="36"/>
      <c r="M48" s="36"/>
      <c r="N48" s="36"/>
      <c r="O48" s="40"/>
      <c r="P48" s="40"/>
      <c r="Q48" s="40"/>
      <c r="R48" s="41"/>
      <c r="S48" s="18"/>
      <c r="T48" s="18"/>
      <c r="U48" s="52" t="s">
        <v>49</v>
      </c>
      <c r="V48" s="18"/>
      <c r="W48" s="30"/>
      <c r="X48" s="30"/>
      <c r="Y48" s="30"/>
      <c r="Z48" s="30"/>
      <c r="AA48" s="30"/>
      <c r="AB48" s="30"/>
      <c r="AC48" s="30"/>
      <c r="AD48" s="30"/>
      <c r="AE48" s="44"/>
    </row>
    <row r="49" spans="1:31" ht="15" customHeight="1">
      <c r="A49" s="45" t="s">
        <v>35</v>
      </c>
      <c r="B49" s="46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12"/>
      <c r="P49" s="12"/>
      <c r="Q49" s="12"/>
      <c r="R49" s="47"/>
      <c r="S49" s="48"/>
      <c r="T49" s="48"/>
      <c r="U49" s="49"/>
      <c r="V49" s="48"/>
      <c r="W49" s="8"/>
      <c r="X49" s="8"/>
      <c r="Y49" s="8"/>
      <c r="Z49" s="8"/>
      <c r="AA49" s="8"/>
      <c r="AB49" s="8"/>
      <c r="AC49" s="8"/>
      <c r="AD49" s="8"/>
      <c r="AE49" s="1" t="s">
        <v>16</v>
      </c>
    </row>
  </sheetData>
  <mergeCells count="117">
    <mergeCell ref="A1:F1"/>
    <mergeCell ref="G1:N1"/>
    <mergeCell ref="O1:Q1"/>
    <mergeCell ref="R1:Y1"/>
    <mergeCell ref="Z1:AE1"/>
    <mergeCell ref="A2:F9"/>
    <mergeCell ref="G2:N4"/>
    <mergeCell ref="O2:Q9"/>
    <mergeCell ref="R2:R5"/>
    <mergeCell ref="S2:Y5"/>
    <mergeCell ref="A10:B10"/>
    <mergeCell ref="C10:D10"/>
    <mergeCell ref="E10:N10"/>
    <mergeCell ref="O10:Q10"/>
    <mergeCell ref="R10:Y10"/>
    <mergeCell ref="Z10:AE10"/>
    <mergeCell ref="Z2:AE6"/>
    <mergeCell ref="G5:N9"/>
    <mergeCell ref="R6:R9"/>
    <mergeCell ref="S6:Y9"/>
    <mergeCell ref="Z7:AE9"/>
    <mergeCell ref="A11:A16"/>
    <mergeCell ref="B11:B14"/>
    <mergeCell ref="C11:D16"/>
    <mergeCell ref="E11:N16"/>
    <mergeCell ref="O11:Q16"/>
    <mergeCell ref="R11:W14"/>
    <mergeCell ref="B15:B16"/>
    <mergeCell ref="R15:R16"/>
    <mergeCell ref="S15:W16"/>
    <mergeCell ref="X17:Y22"/>
    <mergeCell ref="Z13:AB14"/>
    <mergeCell ref="AC13:AD14"/>
    <mergeCell ref="AE13:AE14"/>
    <mergeCell ref="X11:Y16"/>
    <mergeCell ref="Z11:AB12"/>
    <mergeCell ref="AC11:AD12"/>
    <mergeCell ref="AE11:AE12"/>
    <mergeCell ref="Z15:AB16"/>
    <mergeCell ref="AC15:AD16"/>
    <mergeCell ref="AE15:AE16"/>
    <mergeCell ref="Z21:AB22"/>
    <mergeCell ref="AC21:AD22"/>
    <mergeCell ref="AE21:AE22"/>
    <mergeCell ref="Z19:AB20"/>
    <mergeCell ref="AC19:AD20"/>
    <mergeCell ref="AE19:AE20"/>
    <mergeCell ref="Z17:AB18"/>
    <mergeCell ref="AC17:AD18"/>
    <mergeCell ref="AE17:AE18"/>
    <mergeCell ref="A23:A28"/>
    <mergeCell ref="B23:B26"/>
    <mergeCell ref="C23:D28"/>
    <mergeCell ref="E23:N28"/>
    <mergeCell ref="O23:Q28"/>
    <mergeCell ref="R23:W26"/>
    <mergeCell ref="B21:B22"/>
    <mergeCell ref="R21:R22"/>
    <mergeCell ref="S21:W22"/>
    <mergeCell ref="A17:A22"/>
    <mergeCell ref="B17:B20"/>
    <mergeCell ref="C17:D22"/>
    <mergeCell ref="E17:N22"/>
    <mergeCell ref="O17:Q22"/>
    <mergeCell ref="R17:W20"/>
    <mergeCell ref="B27:B28"/>
    <mergeCell ref="R27:R28"/>
    <mergeCell ref="S27:W28"/>
    <mergeCell ref="Z27:AB28"/>
    <mergeCell ref="AC27:AD28"/>
    <mergeCell ref="AE27:AE28"/>
    <mergeCell ref="Z25:AB26"/>
    <mergeCell ref="AC25:AD26"/>
    <mergeCell ref="AE25:AE26"/>
    <mergeCell ref="X23:Y28"/>
    <mergeCell ref="Z23:AB24"/>
    <mergeCell ref="AC23:AD24"/>
    <mergeCell ref="AE23:AE24"/>
    <mergeCell ref="AC29:AD30"/>
    <mergeCell ref="AE29:AE30"/>
    <mergeCell ref="A29:A34"/>
    <mergeCell ref="B29:B32"/>
    <mergeCell ref="C29:D34"/>
    <mergeCell ref="E29:N34"/>
    <mergeCell ref="O29:Q34"/>
    <mergeCell ref="R29:W32"/>
    <mergeCell ref="X29:Y34"/>
    <mergeCell ref="Z29:AB30"/>
    <mergeCell ref="B33:B34"/>
    <mergeCell ref="R33:R34"/>
    <mergeCell ref="S33:W34"/>
    <mergeCell ref="Z33:AB34"/>
    <mergeCell ref="AC33:AD34"/>
    <mergeCell ref="AE33:AE34"/>
    <mergeCell ref="Z31:AB32"/>
    <mergeCell ref="AC31:AD32"/>
    <mergeCell ref="AE31:AE32"/>
    <mergeCell ref="A35:A40"/>
    <mergeCell ref="B35:B38"/>
    <mergeCell ref="C35:D40"/>
    <mergeCell ref="E35:N37"/>
    <mergeCell ref="O35:Q40"/>
    <mergeCell ref="R35:W38"/>
    <mergeCell ref="X35:Y40"/>
    <mergeCell ref="Z35:AB36"/>
    <mergeCell ref="AC35:AD36"/>
    <mergeCell ref="E38:N40"/>
    <mergeCell ref="B39:B40"/>
    <mergeCell ref="R39:R40"/>
    <mergeCell ref="S39:W40"/>
    <mergeCell ref="Z39:AB40"/>
    <mergeCell ref="AC39:AD40"/>
    <mergeCell ref="AE39:AE40"/>
    <mergeCell ref="AE35:AE36"/>
    <mergeCell ref="Z37:AB38"/>
    <mergeCell ref="AC37:AD38"/>
    <mergeCell ref="AE37:AE38"/>
  </mergeCells>
  <phoneticPr fontId="3"/>
  <pageMargins left="0.19685039370078741" right="0.19685039370078741" top="0.19685039370078741" bottom="0.19685039370078741" header="0" footer="0"/>
  <pageSetup paperSize="9" scale="63" orientation="landscape" r:id="rId1"/>
  <headerFooter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E572-34B1-4EA8-833B-A677431B9B6A}">
  <sheetPr>
    <pageSetUpPr fitToPage="1"/>
  </sheetPr>
  <dimension ref="A1:AE49"/>
  <sheetViews>
    <sheetView zoomScale="56" zoomScaleNormal="56" workbookViewId="0">
      <selection activeCell="E29" sqref="E29:N34"/>
    </sheetView>
  </sheetViews>
  <sheetFormatPr defaultRowHeight="18"/>
  <cols>
    <col min="1" max="1" width="3.58203125" customWidth="1"/>
    <col min="2" max="2" width="8.58203125" customWidth="1"/>
    <col min="3" max="3" width="6.58203125" customWidth="1"/>
    <col min="4" max="4" width="2.58203125" customWidth="1"/>
    <col min="5" max="14" width="7.08203125" customWidth="1"/>
    <col min="15" max="17" width="5.58203125" customWidth="1"/>
    <col min="18" max="18" width="6.58203125" customWidth="1"/>
    <col min="19" max="23" width="5.58203125" customWidth="1"/>
    <col min="24" max="25" width="6.58203125" customWidth="1"/>
    <col min="26" max="28" width="7.58203125" customWidth="1"/>
    <col min="29" max="30" width="3.58203125" customWidth="1"/>
    <col min="31" max="31" width="21.58203125" customWidth="1"/>
  </cols>
  <sheetData>
    <row r="1" spans="1:31" ht="18" customHeight="1">
      <c r="A1" s="250" t="s">
        <v>0</v>
      </c>
      <c r="B1" s="251"/>
      <c r="C1" s="251"/>
      <c r="D1" s="251"/>
      <c r="E1" s="251"/>
      <c r="F1" s="252"/>
      <c r="G1" s="253" t="s">
        <v>1</v>
      </c>
      <c r="H1" s="251"/>
      <c r="I1" s="251"/>
      <c r="J1" s="251"/>
      <c r="K1" s="251"/>
      <c r="L1" s="251"/>
      <c r="M1" s="251"/>
      <c r="N1" s="251"/>
      <c r="O1" s="250" t="s">
        <v>2</v>
      </c>
      <c r="P1" s="251"/>
      <c r="Q1" s="252"/>
      <c r="R1" s="216" t="s">
        <v>3</v>
      </c>
      <c r="S1" s="216"/>
      <c r="T1" s="216"/>
      <c r="U1" s="216"/>
      <c r="V1" s="216"/>
      <c r="W1" s="216"/>
      <c r="X1" s="216"/>
      <c r="Y1" s="216"/>
      <c r="Z1" s="216" t="s">
        <v>4</v>
      </c>
      <c r="AA1" s="216"/>
      <c r="AB1" s="216"/>
      <c r="AC1" s="216"/>
      <c r="AD1" s="216"/>
      <c r="AE1" s="216"/>
    </row>
    <row r="2" spans="1:31" ht="8.15" customHeight="1">
      <c r="A2" s="254" t="s">
        <v>85</v>
      </c>
      <c r="B2" s="255"/>
      <c r="C2" s="255"/>
      <c r="D2" s="255"/>
      <c r="E2" s="255"/>
      <c r="F2" s="256"/>
      <c r="G2" s="257" t="s">
        <v>5</v>
      </c>
      <c r="H2" s="258"/>
      <c r="I2" s="258"/>
      <c r="J2" s="258"/>
      <c r="K2" s="258"/>
      <c r="L2" s="258"/>
      <c r="M2" s="258"/>
      <c r="N2" s="259"/>
      <c r="O2" s="263" t="s">
        <v>87</v>
      </c>
      <c r="P2" s="264"/>
      <c r="Q2" s="265"/>
      <c r="R2" s="232" t="s">
        <v>6</v>
      </c>
      <c r="S2" s="235" t="s">
        <v>44</v>
      </c>
      <c r="T2" s="236"/>
      <c r="U2" s="236"/>
      <c r="V2" s="236"/>
      <c r="W2" s="236"/>
      <c r="X2" s="236"/>
      <c r="Y2" s="237"/>
      <c r="Z2" s="217" t="s">
        <v>51</v>
      </c>
      <c r="AA2" s="218"/>
      <c r="AB2" s="218"/>
      <c r="AC2" s="218"/>
      <c r="AD2" s="218"/>
      <c r="AE2" s="219"/>
    </row>
    <row r="3" spans="1:31" ht="8.15" customHeight="1">
      <c r="A3" s="254"/>
      <c r="B3" s="255"/>
      <c r="C3" s="255"/>
      <c r="D3" s="255"/>
      <c r="E3" s="255"/>
      <c r="F3" s="256"/>
      <c r="G3" s="260"/>
      <c r="H3" s="261"/>
      <c r="I3" s="261"/>
      <c r="J3" s="261"/>
      <c r="K3" s="261"/>
      <c r="L3" s="261"/>
      <c r="M3" s="261"/>
      <c r="N3" s="262"/>
      <c r="O3" s="266"/>
      <c r="P3" s="267"/>
      <c r="Q3" s="268"/>
      <c r="R3" s="233"/>
      <c r="S3" s="238"/>
      <c r="T3" s="238"/>
      <c r="U3" s="238"/>
      <c r="V3" s="238"/>
      <c r="W3" s="238"/>
      <c r="X3" s="238"/>
      <c r="Y3" s="239"/>
      <c r="Z3" s="220"/>
      <c r="AA3" s="221"/>
      <c r="AB3" s="221"/>
      <c r="AC3" s="221"/>
      <c r="AD3" s="221"/>
      <c r="AE3" s="222"/>
    </row>
    <row r="4" spans="1:31" ht="8.15" customHeight="1">
      <c r="A4" s="254"/>
      <c r="B4" s="255"/>
      <c r="C4" s="255"/>
      <c r="D4" s="255"/>
      <c r="E4" s="255"/>
      <c r="F4" s="256"/>
      <c r="G4" s="260"/>
      <c r="H4" s="261"/>
      <c r="I4" s="261"/>
      <c r="J4" s="261"/>
      <c r="K4" s="261"/>
      <c r="L4" s="261"/>
      <c r="M4" s="261"/>
      <c r="N4" s="262"/>
      <c r="O4" s="266"/>
      <c r="P4" s="267"/>
      <c r="Q4" s="268"/>
      <c r="R4" s="233"/>
      <c r="S4" s="238"/>
      <c r="T4" s="238"/>
      <c r="U4" s="238"/>
      <c r="V4" s="238"/>
      <c r="W4" s="238"/>
      <c r="X4" s="238"/>
      <c r="Y4" s="239"/>
      <c r="Z4" s="220"/>
      <c r="AA4" s="221"/>
      <c r="AB4" s="221"/>
      <c r="AC4" s="221"/>
      <c r="AD4" s="221"/>
      <c r="AE4" s="222"/>
    </row>
    <row r="5" spans="1:31" ht="8.15" customHeight="1">
      <c r="A5" s="254"/>
      <c r="B5" s="255"/>
      <c r="C5" s="255"/>
      <c r="D5" s="255"/>
      <c r="E5" s="255"/>
      <c r="F5" s="256"/>
      <c r="G5" s="226" t="s">
        <v>38</v>
      </c>
      <c r="H5" s="227"/>
      <c r="I5" s="227"/>
      <c r="J5" s="227"/>
      <c r="K5" s="227"/>
      <c r="L5" s="227"/>
      <c r="M5" s="227"/>
      <c r="N5" s="228"/>
      <c r="O5" s="266"/>
      <c r="P5" s="267"/>
      <c r="Q5" s="268"/>
      <c r="R5" s="234"/>
      <c r="S5" s="240"/>
      <c r="T5" s="240"/>
      <c r="U5" s="240"/>
      <c r="V5" s="240"/>
      <c r="W5" s="240"/>
      <c r="X5" s="240"/>
      <c r="Y5" s="241"/>
      <c r="Z5" s="220"/>
      <c r="AA5" s="221"/>
      <c r="AB5" s="221"/>
      <c r="AC5" s="221"/>
      <c r="AD5" s="221"/>
      <c r="AE5" s="222"/>
    </row>
    <row r="6" spans="1:31" ht="8.15" customHeight="1">
      <c r="A6" s="254"/>
      <c r="B6" s="255"/>
      <c r="C6" s="255"/>
      <c r="D6" s="255"/>
      <c r="E6" s="255"/>
      <c r="F6" s="256"/>
      <c r="G6" s="226"/>
      <c r="H6" s="227"/>
      <c r="I6" s="227"/>
      <c r="J6" s="227"/>
      <c r="K6" s="227"/>
      <c r="L6" s="227"/>
      <c r="M6" s="227"/>
      <c r="N6" s="228"/>
      <c r="O6" s="266"/>
      <c r="P6" s="267"/>
      <c r="Q6" s="268"/>
      <c r="R6" s="232" t="s">
        <v>7</v>
      </c>
      <c r="S6" s="235" t="s">
        <v>45</v>
      </c>
      <c r="T6" s="236"/>
      <c r="U6" s="236"/>
      <c r="V6" s="236"/>
      <c r="W6" s="236"/>
      <c r="X6" s="236"/>
      <c r="Y6" s="237"/>
      <c r="Z6" s="223"/>
      <c r="AA6" s="224"/>
      <c r="AB6" s="224"/>
      <c r="AC6" s="224"/>
      <c r="AD6" s="224"/>
      <c r="AE6" s="225"/>
    </row>
    <row r="7" spans="1:31" ht="8.15" customHeight="1">
      <c r="A7" s="254"/>
      <c r="B7" s="255"/>
      <c r="C7" s="255"/>
      <c r="D7" s="255"/>
      <c r="E7" s="255"/>
      <c r="F7" s="256"/>
      <c r="G7" s="226"/>
      <c r="H7" s="227"/>
      <c r="I7" s="227"/>
      <c r="J7" s="227"/>
      <c r="K7" s="227"/>
      <c r="L7" s="227"/>
      <c r="M7" s="227"/>
      <c r="N7" s="228"/>
      <c r="O7" s="266"/>
      <c r="P7" s="267"/>
      <c r="Q7" s="268"/>
      <c r="R7" s="233"/>
      <c r="S7" s="238"/>
      <c r="T7" s="238"/>
      <c r="U7" s="238"/>
      <c r="V7" s="238"/>
      <c r="W7" s="238"/>
      <c r="X7" s="238"/>
      <c r="Y7" s="239"/>
      <c r="Z7" s="242" t="s">
        <v>52</v>
      </c>
      <c r="AA7" s="243"/>
      <c r="AB7" s="243"/>
      <c r="AC7" s="243"/>
      <c r="AD7" s="243"/>
      <c r="AE7" s="244"/>
    </row>
    <row r="8" spans="1:31" ht="8.15" customHeight="1">
      <c r="A8" s="254"/>
      <c r="B8" s="255"/>
      <c r="C8" s="255"/>
      <c r="D8" s="255"/>
      <c r="E8" s="255"/>
      <c r="F8" s="256"/>
      <c r="G8" s="226"/>
      <c r="H8" s="227"/>
      <c r="I8" s="227"/>
      <c r="J8" s="227"/>
      <c r="K8" s="227"/>
      <c r="L8" s="227"/>
      <c r="M8" s="227"/>
      <c r="N8" s="228"/>
      <c r="O8" s="266"/>
      <c r="P8" s="267"/>
      <c r="Q8" s="268"/>
      <c r="R8" s="233"/>
      <c r="S8" s="238"/>
      <c r="T8" s="238"/>
      <c r="U8" s="238"/>
      <c r="V8" s="238"/>
      <c r="W8" s="238"/>
      <c r="X8" s="238"/>
      <c r="Y8" s="239"/>
      <c r="Z8" s="220"/>
      <c r="AA8" s="221"/>
      <c r="AB8" s="221"/>
      <c r="AC8" s="221"/>
      <c r="AD8" s="221"/>
      <c r="AE8" s="222"/>
    </row>
    <row r="9" spans="1:31" ht="8.15" customHeight="1">
      <c r="A9" s="254"/>
      <c r="B9" s="255"/>
      <c r="C9" s="255"/>
      <c r="D9" s="255"/>
      <c r="E9" s="255"/>
      <c r="F9" s="256"/>
      <c r="G9" s="229"/>
      <c r="H9" s="230"/>
      <c r="I9" s="230"/>
      <c r="J9" s="230"/>
      <c r="K9" s="230"/>
      <c r="L9" s="230"/>
      <c r="M9" s="230"/>
      <c r="N9" s="231"/>
      <c r="O9" s="269"/>
      <c r="P9" s="270"/>
      <c r="Q9" s="271"/>
      <c r="R9" s="234"/>
      <c r="S9" s="240"/>
      <c r="T9" s="240"/>
      <c r="U9" s="240"/>
      <c r="V9" s="240"/>
      <c r="W9" s="240"/>
      <c r="X9" s="240"/>
      <c r="Y9" s="241"/>
      <c r="Z9" s="245"/>
      <c r="AA9" s="246"/>
      <c r="AB9" s="246"/>
      <c r="AC9" s="246"/>
      <c r="AD9" s="246"/>
      <c r="AE9" s="247"/>
    </row>
    <row r="10" spans="1:31">
      <c r="A10" s="206" t="s">
        <v>8</v>
      </c>
      <c r="B10" s="207"/>
      <c r="C10" s="208" t="s">
        <v>9</v>
      </c>
      <c r="D10" s="208"/>
      <c r="E10" s="209" t="s">
        <v>10</v>
      </c>
      <c r="F10" s="209"/>
      <c r="G10" s="210"/>
      <c r="H10" s="210"/>
      <c r="I10" s="210"/>
      <c r="J10" s="210"/>
      <c r="K10" s="210"/>
      <c r="L10" s="210"/>
      <c r="M10" s="210"/>
      <c r="N10" s="211"/>
      <c r="O10" s="212" t="s">
        <v>11</v>
      </c>
      <c r="P10" s="213"/>
      <c r="Q10" s="214"/>
      <c r="R10" s="215" t="s">
        <v>12</v>
      </c>
      <c r="S10" s="215"/>
      <c r="T10" s="215"/>
      <c r="U10" s="215"/>
      <c r="V10" s="215"/>
      <c r="W10" s="215"/>
      <c r="X10" s="215"/>
      <c r="Y10" s="207"/>
      <c r="Z10" s="216" t="s">
        <v>13</v>
      </c>
      <c r="AA10" s="216"/>
      <c r="AB10" s="216"/>
      <c r="AC10" s="216"/>
      <c r="AD10" s="216"/>
      <c r="AE10" s="216"/>
    </row>
    <row r="11" spans="1:31" ht="11.15" customHeight="1">
      <c r="A11" s="101">
        <v>1</v>
      </c>
      <c r="B11" s="105">
        <v>46252</v>
      </c>
      <c r="C11" s="106" t="s">
        <v>43</v>
      </c>
      <c r="D11" s="106"/>
      <c r="E11" s="188" t="s">
        <v>57</v>
      </c>
      <c r="F11" s="110"/>
      <c r="G11" s="110"/>
      <c r="H11" s="110"/>
      <c r="I11" s="110"/>
      <c r="J11" s="110"/>
      <c r="K11" s="110"/>
      <c r="L11" s="110"/>
      <c r="M11" s="110"/>
      <c r="N11" s="111"/>
      <c r="O11" s="189"/>
      <c r="P11" s="190"/>
      <c r="Q11" s="191"/>
      <c r="R11" s="160" t="s">
        <v>41</v>
      </c>
      <c r="S11" s="125"/>
      <c r="T11" s="125"/>
      <c r="U11" s="125"/>
      <c r="V11" s="125"/>
      <c r="W11" s="126"/>
      <c r="X11" s="161" t="s">
        <v>64</v>
      </c>
      <c r="Y11" s="161"/>
      <c r="Z11" s="198" t="s">
        <v>14</v>
      </c>
      <c r="AA11" s="199"/>
      <c r="AB11" s="200"/>
      <c r="AC11" s="201" t="s">
        <v>25</v>
      </c>
      <c r="AD11" s="202"/>
      <c r="AE11" s="203"/>
    </row>
    <row r="12" spans="1:31" ht="11.15" customHeight="1">
      <c r="A12" s="102"/>
      <c r="B12" s="105"/>
      <c r="C12" s="107"/>
      <c r="D12" s="107"/>
      <c r="E12" s="112"/>
      <c r="F12" s="113"/>
      <c r="G12" s="113"/>
      <c r="H12" s="113"/>
      <c r="I12" s="113"/>
      <c r="J12" s="113"/>
      <c r="K12" s="113"/>
      <c r="L12" s="113"/>
      <c r="M12" s="113"/>
      <c r="N12" s="114"/>
      <c r="O12" s="192"/>
      <c r="P12" s="193"/>
      <c r="Q12" s="194"/>
      <c r="R12" s="127"/>
      <c r="S12" s="128"/>
      <c r="T12" s="128"/>
      <c r="U12" s="128"/>
      <c r="V12" s="128"/>
      <c r="W12" s="129"/>
      <c r="X12" s="162"/>
      <c r="Y12" s="162"/>
      <c r="Z12" s="147"/>
      <c r="AA12" s="148"/>
      <c r="AB12" s="149"/>
      <c r="AC12" s="100"/>
      <c r="AD12" s="90"/>
      <c r="AE12" s="93"/>
    </row>
    <row r="13" spans="1:31" ht="11.15" customHeight="1">
      <c r="A13" s="102"/>
      <c r="B13" s="105"/>
      <c r="C13" s="107"/>
      <c r="D13" s="107"/>
      <c r="E13" s="112"/>
      <c r="F13" s="113"/>
      <c r="G13" s="113"/>
      <c r="H13" s="113"/>
      <c r="I13" s="113"/>
      <c r="J13" s="113"/>
      <c r="K13" s="113"/>
      <c r="L13" s="113"/>
      <c r="M13" s="113"/>
      <c r="N13" s="114"/>
      <c r="O13" s="192"/>
      <c r="P13" s="193"/>
      <c r="Q13" s="194"/>
      <c r="R13" s="127"/>
      <c r="S13" s="128"/>
      <c r="T13" s="128"/>
      <c r="U13" s="128"/>
      <c r="V13" s="128"/>
      <c r="W13" s="129"/>
      <c r="X13" s="162"/>
      <c r="Y13" s="162"/>
      <c r="Z13" s="147" t="s">
        <v>26</v>
      </c>
      <c r="AA13" s="148"/>
      <c r="AB13" s="149"/>
      <c r="AC13" s="89" t="s">
        <v>25</v>
      </c>
      <c r="AD13" s="90"/>
      <c r="AE13" s="93"/>
    </row>
    <row r="14" spans="1:31" ht="11.15" customHeight="1">
      <c r="A14" s="102"/>
      <c r="B14" s="105"/>
      <c r="C14" s="107"/>
      <c r="D14" s="107"/>
      <c r="E14" s="112"/>
      <c r="F14" s="113"/>
      <c r="G14" s="113"/>
      <c r="H14" s="113"/>
      <c r="I14" s="113"/>
      <c r="J14" s="113"/>
      <c r="K14" s="113"/>
      <c r="L14" s="113"/>
      <c r="M14" s="113"/>
      <c r="N14" s="114"/>
      <c r="O14" s="192"/>
      <c r="P14" s="193"/>
      <c r="Q14" s="194"/>
      <c r="R14" s="130"/>
      <c r="S14" s="131"/>
      <c r="T14" s="131"/>
      <c r="U14" s="131"/>
      <c r="V14" s="131"/>
      <c r="W14" s="132"/>
      <c r="X14" s="162"/>
      <c r="Y14" s="162"/>
      <c r="Z14" s="147"/>
      <c r="AA14" s="148"/>
      <c r="AB14" s="149"/>
      <c r="AC14" s="100"/>
      <c r="AD14" s="90"/>
      <c r="AE14" s="93"/>
    </row>
    <row r="15" spans="1:31" ht="11.15" customHeight="1">
      <c r="A15" s="102"/>
      <c r="B15" s="74" t="str">
        <f>TEXT(B11,"(aaa)")</f>
        <v>(火)</v>
      </c>
      <c r="C15" s="107"/>
      <c r="D15" s="107"/>
      <c r="E15" s="112"/>
      <c r="F15" s="113"/>
      <c r="G15" s="113"/>
      <c r="H15" s="113"/>
      <c r="I15" s="113"/>
      <c r="J15" s="113"/>
      <c r="K15" s="113"/>
      <c r="L15" s="113"/>
      <c r="M15" s="113"/>
      <c r="N15" s="114"/>
      <c r="O15" s="192"/>
      <c r="P15" s="193"/>
      <c r="Q15" s="194"/>
      <c r="R15" s="145" t="s">
        <v>37</v>
      </c>
      <c r="S15" s="78" t="s">
        <v>42</v>
      </c>
      <c r="T15" s="79"/>
      <c r="U15" s="79"/>
      <c r="V15" s="79"/>
      <c r="W15" s="80"/>
      <c r="X15" s="162"/>
      <c r="Y15" s="162"/>
      <c r="Z15" s="147" t="s">
        <v>78</v>
      </c>
      <c r="AA15" s="148"/>
      <c r="AB15" s="149"/>
      <c r="AC15" s="153">
        <v>0.77083333333333337</v>
      </c>
      <c r="AD15" s="90"/>
      <c r="AE15" s="93" t="s">
        <v>79</v>
      </c>
    </row>
    <row r="16" spans="1:31" ht="11.15" customHeight="1">
      <c r="A16" s="103"/>
      <c r="B16" s="75"/>
      <c r="C16" s="108"/>
      <c r="D16" s="108"/>
      <c r="E16" s="177"/>
      <c r="F16" s="178"/>
      <c r="G16" s="178"/>
      <c r="H16" s="178"/>
      <c r="I16" s="178"/>
      <c r="J16" s="178"/>
      <c r="K16" s="178"/>
      <c r="L16" s="178"/>
      <c r="M16" s="178"/>
      <c r="N16" s="179"/>
      <c r="O16" s="195"/>
      <c r="P16" s="196"/>
      <c r="Q16" s="197"/>
      <c r="R16" s="146"/>
      <c r="S16" s="81"/>
      <c r="T16" s="82"/>
      <c r="U16" s="82"/>
      <c r="V16" s="82"/>
      <c r="W16" s="77"/>
      <c r="X16" s="163"/>
      <c r="Y16" s="163"/>
      <c r="Z16" s="150"/>
      <c r="AA16" s="151"/>
      <c r="AB16" s="152"/>
      <c r="AC16" s="91"/>
      <c r="AD16" s="92"/>
      <c r="AE16" s="94"/>
    </row>
    <row r="17" spans="1:31" ht="11.15" customHeight="1">
      <c r="A17" s="101">
        <v>2</v>
      </c>
      <c r="B17" s="104">
        <f>B11+1</f>
        <v>46253</v>
      </c>
      <c r="C17" s="106" t="s">
        <v>43</v>
      </c>
      <c r="D17" s="106"/>
      <c r="E17" s="109" t="s">
        <v>62</v>
      </c>
      <c r="F17" s="110"/>
      <c r="G17" s="110"/>
      <c r="H17" s="110"/>
      <c r="I17" s="110"/>
      <c r="J17" s="110"/>
      <c r="K17" s="110"/>
      <c r="L17" s="110"/>
      <c r="M17" s="110"/>
      <c r="N17" s="111"/>
      <c r="O17" s="180" t="s">
        <v>65</v>
      </c>
      <c r="P17" s="181"/>
      <c r="Q17" s="182"/>
      <c r="R17" s="160" t="s">
        <v>41</v>
      </c>
      <c r="S17" s="125"/>
      <c r="T17" s="125"/>
      <c r="U17" s="125"/>
      <c r="V17" s="125"/>
      <c r="W17" s="126"/>
      <c r="X17" s="161" t="s">
        <v>64</v>
      </c>
      <c r="Y17" s="161"/>
      <c r="Z17" s="164" t="s">
        <v>15</v>
      </c>
      <c r="AA17" s="165"/>
      <c r="AB17" s="166"/>
      <c r="AC17" s="167">
        <v>0.27083333333333331</v>
      </c>
      <c r="AD17" s="168"/>
      <c r="AE17" s="169"/>
    </row>
    <row r="18" spans="1:31" ht="11.15" customHeight="1">
      <c r="A18" s="102"/>
      <c r="B18" s="105"/>
      <c r="C18" s="107"/>
      <c r="D18" s="107"/>
      <c r="E18" s="112"/>
      <c r="F18" s="113"/>
      <c r="G18" s="113"/>
      <c r="H18" s="113"/>
      <c r="I18" s="113"/>
      <c r="J18" s="113"/>
      <c r="K18" s="113"/>
      <c r="L18" s="113"/>
      <c r="M18" s="113"/>
      <c r="N18" s="114"/>
      <c r="O18" s="183"/>
      <c r="P18" s="184"/>
      <c r="Q18" s="185"/>
      <c r="R18" s="127"/>
      <c r="S18" s="128"/>
      <c r="T18" s="128"/>
      <c r="U18" s="128"/>
      <c r="V18" s="128"/>
      <c r="W18" s="129"/>
      <c r="X18" s="162"/>
      <c r="Y18" s="162"/>
      <c r="Z18" s="147"/>
      <c r="AA18" s="148"/>
      <c r="AB18" s="149"/>
      <c r="AC18" s="100"/>
      <c r="AD18" s="90"/>
      <c r="AE18" s="93"/>
    </row>
    <row r="19" spans="1:31" ht="11.15" customHeight="1">
      <c r="A19" s="102"/>
      <c r="B19" s="105"/>
      <c r="C19" s="107"/>
      <c r="D19" s="107"/>
      <c r="E19" s="112"/>
      <c r="F19" s="113"/>
      <c r="G19" s="113"/>
      <c r="H19" s="113"/>
      <c r="I19" s="113"/>
      <c r="J19" s="113"/>
      <c r="K19" s="113"/>
      <c r="L19" s="113"/>
      <c r="M19" s="113"/>
      <c r="N19" s="114"/>
      <c r="O19" s="183"/>
      <c r="P19" s="184"/>
      <c r="Q19" s="185"/>
      <c r="R19" s="127"/>
      <c r="S19" s="128"/>
      <c r="T19" s="128"/>
      <c r="U19" s="128"/>
      <c r="V19" s="128"/>
      <c r="W19" s="129"/>
      <c r="X19" s="162"/>
      <c r="Y19" s="162"/>
      <c r="Z19" s="147" t="s">
        <v>75</v>
      </c>
      <c r="AA19" s="148"/>
      <c r="AB19" s="149"/>
      <c r="AC19" s="153">
        <v>0.52083333333333337</v>
      </c>
      <c r="AD19" s="90"/>
      <c r="AE19" s="174" t="s">
        <v>77</v>
      </c>
    </row>
    <row r="20" spans="1:31" ht="11.15" customHeight="1">
      <c r="A20" s="102"/>
      <c r="B20" s="105"/>
      <c r="C20" s="107"/>
      <c r="D20" s="107"/>
      <c r="E20" s="112"/>
      <c r="F20" s="113"/>
      <c r="G20" s="113"/>
      <c r="H20" s="113"/>
      <c r="I20" s="113"/>
      <c r="J20" s="113"/>
      <c r="K20" s="113"/>
      <c r="L20" s="113"/>
      <c r="M20" s="113"/>
      <c r="N20" s="114"/>
      <c r="O20" s="183"/>
      <c r="P20" s="184"/>
      <c r="Q20" s="185"/>
      <c r="R20" s="130"/>
      <c r="S20" s="131"/>
      <c r="T20" s="131"/>
      <c r="U20" s="131"/>
      <c r="V20" s="131"/>
      <c r="W20" s="132"/>
      <c r="X20" s="162"/>
      <c r="Y20" s="162"/>
      <c r="Z20" s="147"/>
      <c r="AA20" s="148"/>
      <c r="AB20" s="149"/>
      <c r="AC20" s="100"/>
      <c r="AD20" s="90"/>
      <c r="AE20" s="93"/>
    </row>
    <row r="21" spans="1:31" ht="11.15" customHeight="1">
      <c r="A21" s="102"/>
      <c r="B21" s="74" t="str">
        <f>TEXT(B17,"(aaa)")</f>
        <v>(水)</v>
      </c>
      <c r="C21" s="107"/>
      <c r="D21" s="107"/>
      <c r="E21" s="112"/>
      <c r="F21" s="113"/>
      <c r="G21" s="113"/>
      <c r="H21" s="113"/>
      <c r="I21" s="113"/>
      <c r="J21" s="113"/>
      <c r="K21" s="113"/>
      <c r="L21" s="113"/>
      <c r="M21" s="113"/>
      <c r="N21" s="114"/>
      <c r="O21" s="183"/>
      <c r="P21" s="184"/>
      <c r="Q21" s="185"/>
      <c r="R21" s="145" t="s">
        <v>37</v>
      </c>
      <c r="S21" s="78" t="s">
        <v>42</v>
      </c>
      <c r="T21" s="79"/>
      <c r="U21" s="79"/>
      <c r="V21" s="79"/>
      <c r="W21" s="80"/>
      <c r="X21" s="162"/>
      <c r="Y21" s="162"/>
      <c r="Z21" s="147" t="s">
        <v>78</v>
      </c>
      <c r="AA21" s="148"/>
      <c r="AB21" s="149"/>
      <c r="AC21" s="153">
        <v>0.79166666666666663</v>
      </c>
      <c r="AD21" s="90"/>
      <c r="AE21" s="93" t="s">
        <v>79</v>
      </c>
    </row>
    <row r="22" spans="1:31" ht="11.15" customHeight="1">
      <c r="A22" s="103"/>
      <c r="B22" s="75"/>
      <c r="C22" s="108"/>
      <c r="D22" s="108"/>
      <c r="E22" s="177"/>
      <c r="F22" s="178"/>
      <c r="G22" s="178"/>
      <c r="H22" s="178"/>
      <c r="I22" s="178"/>
      <c r="J22" s="178"/>
      <c r="K22" s="178"/>
      <c r="L22" s="178"/>
      <c r="M22" s="178"/>
      <c r="N22" s="179"/>
      <c r="O22" s="183"/>
      <c r="P22" s="184"/>
      <c r="Q22" s="185"/>
      <c r="R22" s="146"/>
      <c r="S22" s="81"/>
      <c r="T22" s="82"/>
      <c r="U22" s="82"/>
      <c r="V22" s="82"/>
      <c r="W22" s="77"/>
      <c r="X22" s="163"/>
      <c r="Y22" s="163"/>
      <c r="Z22" s="150"/>
      <c r="AA22" s="151"/>
      <c r="AB22" s="152"/>
      <c r="AC22" s="91"/>
      <c r="AD22" s="92"/>
      <c r="AE22" s="94"/>
    </row>
    <row r="23" spans="1:31" ht="11.15" customHeight="1">
      <c r="A23" s="101">
        <v>3</v>
      </c>
      <c r="B23" s="104">
        <f>B17+1</f>
        <v>46254</v>
      </c>
      <c r="C23" s="106" t="s">
        <v>92</v>
      </c>
      <c r="D23" s="106"/>
      <c r="E23" s="170" t="s">
        <v>93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71" t="s">
        <v>94</v>
      </c>
      <c r="P23" s="171"/>
      <c r="Q23" s="171"/>
      <c r="R23" s="327" t="s">
        <v>39</v>
      </c>
      <c r="S23" s="328"/>
      <c r="T23" s="328"/>
      <c r="U23" s="328"/>
      <c r="V23" s="328"/>
      <c r="W23" s="329"/>
      <c r="X23" s="336" t="s">
        <v>28</v>
      </c>
      <c r="Y23" s="336"/>
      <c r="Z23" s="164" t="s">
        <v>15</v>
      </c>
      <c r="AA23" s="165"/>
      <c r="AB23" s="166"/>
      <c r="AC23" s="167">
        <v>0.27083333333333331</v>
      </c>
      <c r="AD23" s="168"/>
      <c r="AE23" s="169"/>
    </row>
    <row r="24" spans="1:31" ht="11.15" customHeight="1">
      <c r="A24" s="102"/>
      <c r="B24" s="105"/>
      <c r="C24" s="107"/>
      <c r="D24" s="107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72"/>
      <c r="P24" s="172"/>
      <c r="Q24" s="172"/>
      <c r="R24" s="330"/>
      <c r="S24" s="331"/>
      <c r="T24" s="331"/>
      <c r="U24" s="331"/>
      <c r="V24" s="331"/>
      <c r="W24" s="332"/>
      <c r="X24" s="337"/>
      <c r="Y24" s="337"/>
      <c r="Z24" s="147"/>
      <c r="AA24" s="148"/>
      <c r="AB24" s="149"/>
      <c r="AC24" s="100"/>
      <c r="AD24" s="90"/>
      <c r="AE24" s="93"/>
    </row>
    <row r="25" spans="1:31" ht="11.15" customHeight="1">
      <c r="A25" s="102"/>
      <c r="B25" s="105"/>
      <c r="C25" s="107"/>
      <c r="D25" s="107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72"/>
      <c r="P25" s="172"/>
      <c r="Q25" s="172"/>
      <c r="R25" s="330"/>
      <c r="S25" s="331"/>
      <c r="T25" s="331"/>
      <c r="U25" s="331"/>
      <c r="V25" s="331"/>
      <c r="W25" s="332"/>
      <c r="X25" s="337"/>
      <c r="Y25" s="337"/>
      <c r="Z25" s="275" t="s">
        <v>81</v>
      </c>
      <c r="AA25" s="276"/>
      <c r="AB25" s="277"/>
      <c r="AC25" s="300">
        <v>0.53125</v>
      </c>
      <c r="AD25" s="281"/>
      <c r="AE25" s="283" t="s">
        <v>82</v>
      </c>
    </row>
    <row r="26" spans="1:31" ht="11.15" customHeight="1">
      <c r="A26" s="102"/>
      <c r="B26" s="105"/>
      <c r="C26" s="107"/>
      <c r="D26" s="10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72"/>
      <c r="P26" s="172"/>
      <c r="Q26" s="172"/>
      <c r="R26" s="333"/>
      <c r="S26" s="334"/>
      <c r="T26" s="334"/>
      <c r="U26" s="334"/>
      <c r="V26" s="334"/>
      <c r="W26" s="335"/>
      <c r="X26" s="337"/>
      <c r="Y26" s="337"/>
      <c r="Z26" s="275"/>
      <c r="AA26" s="276"/>
      <c r="AB26" s="277"/>
      <c r="AC26" s="280"/>
      <c r="AD26" s="281"/>
      <c r="AE26" s="283"/>
    </row>
    <row r="27" spans="1:31" ht="11.15" customHeight="1">
      <c r="A27" s="102"/>
      <c r="B27" s="74" t="str">
        <f>TEXT(B23,"(aaa)")</f>
        <v>(木)</v>
      </c>
      <c r="C27" s="107"/>
      <c r="D27" s="10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72"/>
      <c r="P27" s="172"/>
      <c r="Q27" s="172"/>
      <c r="R27" s="289" t="s">
        <v>36</v>
      </c>
      <c r="S27" s="291" t="s">
        <v>40</v>
      </c>
      <c r="T27" s="292"/>
      <c r="U27" s="292"/>
      <c r="V27" s="292"/>
      <c r="W27" s="293"/>
      <c r="X27" s="337"/>
      <c r="Y27" s="337"/>
      <c r="Z27" s="275" t="s">
        <v>53</v>
      </c>
      <c r="AA27" s="276"/>
      <c r="AB27" s="277"/>
      <c r="AC27" s="300">
        <v>0.8125</v>
      </c>
      <c r="AD27" s="281"/>
      <c r="AE27" s="283" t="s">
        <v>54</v>
      </c>
    </row>
    <row r="28" spans="1:31" ht="11.15" customHeight="1">
      <c r="A28" s="103"/>
      <c r="B28" s="75"/>
      <c r="C28" s="108"/>
      <c r="D28" s="108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73"/>
      <c r="P28" s="173"/>
      <c r="Q28" s="173"/>
      <c r="R28" s="290"/>
      <c r="S28" s="294"/>
      <c r="T28" s="295"/>
      <c r="U28" s="295"/>
      <c r="V28" s="295"/>
      <c r="W28" s="296"/>
      <c r="X28" s="338"/>
      <c r="Y28" s="338"/>
      <c r="Z28" s="297"/>
      <c r="AA28" s="298"/>
      <c r="AB28" s="299"/>
      <c r="AC28" s="301"/>
      <c r="AD28" s="302"/>
      <c r="AE28" s="303"/>
    </row>
    <row r="29" spans="1:31" ht="11.15" customHeight="1">
      <c r="A29" s="305">
        <v>4</v>
      </c>
      <c r="B29" s="308">
        <f>B23+1</f>
        <v>46255</v>
      </c>
      <c r="C29" s="284" t="s">
        <v>59</v>
      </c>
      <c r="D29" s="284"/>
      <c r="E29" s="362" t="s">
        <v>89</v>
      </c>
      <c r="F29" s="362"/>
      <c r="G29" s="362"/>
      <c r="H29" s="362"/>
      <c r="I29" s="362"/>
      <c r="J29" s="362"/>
      <c r="K29" s="362"/>
      <c r="L29" s="362"/>
      <c r="M29" s="362"/>
      <c r="N29" s="362"/>
      <c r="O29" s="365" t="s">
        <v>90</v>
      </c>
      <c r="P29" s="365"/>
      <c r="Q29" s="365"/>
      <c r="R29" s="327" t="s">
        <v>39</v>
      </c>
      <c r="S29" s="328"/>
      <c r="T29" s="328"/>
      <c r="U29" s="328"/>
      <c r="V29" s="328"/>
      <c r="W29" s="329"/>
      <c r="X29" s="336" t="s">
        <v>28</v>
      </c>
      <c r="Y29" s="336"/>
      <c r="Z29" s="272" t="s">
        <v>15</v>
      </c>
      <c r="AA29" s="273"/>
      <c r="AB29" s="274"/>
      <c r="AC29" s="278">
        <v>0.29166666666666669</v>
      </c>
      <c r="AD29" s="279"/>
      <c r="AE29" s="282"/>
    </row>
    <row r="30" spans="1:31" ht="11.15" customHeight="1">
      <c r="A30" s="306"/>
      <c r="B30" s="309"/>
      <c r="C30" s="310"/>
      <c r="D30" s="310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6"/>
      <c r="P30" s="366"/>
      <c r="Q30" s="366"/>
      <c r="R30" s="330"/>
      <c r="S30" s="331"/>
      <c r="T30" s="331"/>
      <c r="U30" s="331"/>
      <c r="V30" s="331"/>
      <c r="W30" s="332"/>
      <c r="X30" s="337"/>
      <c r="Y30" s="337"/>
      <c r="Z30" s="275"/>
      <c r="AA30" s="276"/>
      <c r="AB30" s="277"/>
      <c r="AC30" s="280"/>
      <c r="AD30" s="281"/>
      <c r="AE30" s="283"/>
    </row>
    <row r="31" spans="1:31" ht="11.15" customHeight="1">
      <c r="A31" s="306"/>
      <c r="B31" s="309"/>
      <c r="C31" s="310"/>
      <c r="D31" s="310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6"/>
      <c r="P31" s="366"/>
      <c r="Q31" s="366"/>
      <c r="R31" s="330"/>
      <c r="S31" s="331"/>
      <c r="T31" s="331"/>
      <c r="U31" s="331"/>
      <c r="V31" s="331"/>
      <c r="W31" s="332"/>
      <c r="X31" s="337"/>
      <c r="Y31" s="337"/>
      <c r="Z31" s="275" t="s">
        <v>73</v>
      </c>
      <c r="AA31" s="276"/>
      <c r="AB31" s="277"/>
      <c r="AC31" s="300">
        <v>0.54166666666666663</v>
      </c>
      <c r="AD31" s="281"/>
      <c r="AE31" s="283" t="s">
        <v>54</v>
      </c>
    </row>
    <row r="32" spans="1:31" ht="11.15" customHeight="1">
      <c r="A32" s="306"/>
      <c r="B32" s="309"/>
      <c r="C32" s="310"/>
      <c r="D32" s="310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6"/>
      <c r="P32" s="366"/>
      <c r="Q32" s="366"/>
      <c r="R32" s="333"/>
      <c r="S32" s="334"/>
      <c r="T32" s="334"/>
      <c r="U32" s="334"/>
      <c r="V32" s="334"/>
      <c r="W32" s="335"/>
      <c r="X32" s="337"/>
      <c r="Y32" s="337"/>
      <c r="Z32" s="275"/>
      <c r="AA32" s="276"/>
      <c r="AB32" s="277"/>
      <c r="AC32" s="280"/>
      <c r="AD32" s="281"/>
      <c r="AE32" s="283"/>
    </row>
    <row r="33" spans="1:31" ht="11.15" customHeight="1">
      <c r="A33" s="306"/>
      <c r="B33" s="287" t="str">
        <f>TEXT(B29,"(aaa)")</f>
        <v>(金)</v>
      </c>
      <c r="C33" s="310"/>
      <c r="D33" s="310"/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6"/>
      <c r="P33" s="366"/>
      <c r="Q33" s="366"/>
      <c r="R33" s="289" t="s">
        <v>36</v>
      </c>
      <c r="S33" s="291" t="s">
        <v>40</v>
      </c>
      <c r="T33" s="292"/>
      <c r="U33" s="292"/>
      <c r="V33" s="292"/>
      <c r="W33" s="293"/>
      <c r="X33" s="337"/>
      <c r="Y33" s="337"/>
      <c r="Z33" s="275" t="s">
        <v>53</v>
      </c>
      <c r="AA33" s="276"/>
      <c r="AB33" s="277"/>
      <c r="AC33" s="300">
        <v>0.79166666666666663</v>
      </c>
      <c r="AD33" s="281"/>
      <c r="AE33" s="283" t="s">
        <v>54</v>
      </c>
    </row>
    <row r="34" spans="1:31" ht="11.15" customHeight="1">
      <c r="A34" s="307"/>
      <c r="B34" s="288"/>
      <c r="C34" s="311"/>
      <c r="D34" s="311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7"/>
      <c r="P34" s="367"/>
      <c r="Q34" s="367"/>
      <c r="R34" s="290"/>
      <c r="S34" s="294"/>
      <c r="T34" s="295"/>
      <c r="U34" s="295"/>
      <c r="V34" s="295"/>
      <c r="W34" s="296"/>
      <c r="X34" s="338"/>
      <c r="Y34" s="338"/>
      <c r="Z34" s="297"/>
      <c r="AA34" s="298"/>
      <c r="AB34" s="299"/>
      <c r="AC34" s="301"/>
      <c r="AD34" s="302"/>
      <c r="AE34" s="303"/>
    </row>
    <row r="35" spans="1:31" ht="11.15" customHeight="1">
      <c r="A35" s="305">
        <v>5</v>
      </c>
      <c r="B35" s="308">
        <f>B29+1</f>
        <v>46256</v>
      </c>
      <c r="C35" s="284" t="s">
        <v>59</v>
      </c>
      <c r="D35" s="284"/>
      <c r="E35" s="312" t="s">
        <v>91</v>
      </c>
      <c r="F35" s="313"/>
      <c r="G35" s="313"/>
      <c r="H35" s="313"/>
      <c r="I35" s="313"/>
      <c r="J35" s="313"/>
      <c r="K35" s="313"/>
      <c r="L35" s="313"/>
      <c r="M35" s="313"/>
      <c r="N35" s="314"/>
      <c r="O35" s="115"/>
      <c r="P35" s="116"/>
      <c r="Q35" s="117"/>
      <c r="R35" s="357" t="s">
        <v>17</v>
      </c>
      <c r="S35" s="328"/>
      <c r="T35" s="328"/>
      <c r="U35" s="328"/>
      <c r="V35" s="328"/>
      <c r="W35" s="329"/>
      <c r="X35" s="133"/>
      <c r="Y35" s="134"/>
      <c r="Z35" s="272" t="s">
        <v>46</v>
      </c>
      <c r="AA35" s="273"/>
      <c r="AB35" s="274"/>
      <c r="AC35" s="358" t="s">
        <v>47</v>
      </c>
      <c r="AD35" s="359"/>
      <c r="AE35" s="282"/>
    </row>
    <row r="36" spans="1:31" ht="11.15" customHeight="1">
      <c r="A36" s="306"/>
      <c r="B36" s="309"/>
      <c r="C36" s="310"/>
      <c r="D36" s="310"/>
      <c r="E36" s="315"/>
      <c r="F36" s="316"/>
      <c r="G36" s="316"/>
      <c r="H36" s="316"/>
      <c r="I36" s="316"/>
      <c r="J36" s="316"/>
      <c r="K36" s="316"/>
      <c r="L36" s="316"/>
      <c r="M36" s="316"/>
      <c r="N36" s="317"/>
      <c r="O36" s="118"/>
      <c r="P36" s="119"/>
      <c r="Q36" s="120"/>
      <c r="R36" s="330"/>
      <c r="S36" s="331"/>
      <c r="T36" s="331"/>
      <c r="U36" s="331"/>
      <c r="V36" s="331"/>
      <c r="W36" s="332"/>
      <c r="X36" s="135"/>
      <c r="Y36" s="135"/>
      <c r="Z36" s="275"/>
      <c r="AA36" s="276"/>
      <c r="AB36" s="277"/>
      <c r="AC36" s="360"/>
      <c r="AD36" s="361"/>
      <c r="AE36" s="283"/>
    </row>
    <row r="37" spans="1:31" ht="11.15" customHeight="1">
      <c r="A37" s="306"/>
      <c r="B37" s="309"/>
      <c r="C37" s="310"/>
      <c r="D37" s="310"/>
      <c r="E37" s="315"/>
      <c r="F37" s="316"/>
      <c r="G37" s="316"/>
      <c r="H37" s="316"/>
      <c r="I37" s="316"/>
      <c r="J37" s="316"/>
      <c r="K37" s="316"/>
      <c r="L37" s="316"/>
      <c r="M37" s="316"/>
      <c r="N37" s="317"/>
      <c r="O37" s="118"/>
      <c r="P37" s="119"/>
      <c r="Q37" s="120"/>
      <c r="R37" s="330"/>
      <c r="S37" s="331"/>
      <c r="T37" s="331"/>
      <c r="U37" s="331"/>
      <c r="V37" s="331"/>
      <c r="W37" s="332"/>
      <c r="X37" s="136"/>
      <c r="Y37" s="136"/>
      <c r="Z37" s="275" t="s">
        <v>26</v>
      </c>
      <c r="AA37" s="276"/>
      <c r="AB37" s="277"/>
      <c r="AC37" s="339" t="s">
        <v>25</v>
      </c>
      <c r="AD37" s="281"/>
      <c r="AE37" s="283"/>
    </row>
    <row r="38" spans="1:31" ht="11.15" customHeight="1">
      <c r="A38" s="306"/>
      <c r="B38" s="309"/>
      <c r="C38" s="310"/>
      <c r="D38" s="310"/>
      <c r="E38" s="68" t="s">
        <v>32</v>
      </c>
      <c r="F38" s="69"/>
      <c r="G38" s="69"/>
      <c r="H38" s="69"/>
      <c r="I38" s="69"/>
      <c r="J38" s="69"/>
      <c r="K38" s="69"/>
      <c r="L38" s="69"/>
      <c r="M38" s="69"/>
      <c r="N38" s="70"/>
      <c r="O38" s="118"/>
      <c r="P38" s="119"/>
      <c r="Q38" s="120"/>
      <c r="R38" s="333"/>
      <c r="S38" s="334"/>
      <c r="T38" s="334"/>
      <c r="U38" s="334"/>
      <c r="V38" s="334"/>
      <c r="W38" s="335"/>
      <c r="X38" s="136"/>
      <c r="Y38" s="136"/>
      <c r="Z38" s="275"/>
      <c r="AA38" s="276"/>
      <c r="AB38" s="277"/>
      <c r="AC38" s="280"/>
      <c r="AD38" s="281"/>
      <c r="AE38" s="283"/>
    </row>
    <row r="39" spans="1:31" ht="11.15" customHeight="1">
      <c r="A39" s="306"/>
      <c r="B39" s="287" t="str">
        <f>TEXT(B35,"(aaa)")</f>
        <v>(土)</v>
      </c>
      <c r="C39" s="310"/>
      <c r="D39" s="310"/>
      <c r="E39" s="68"/>
      <c r="F39" s="69"/>
      <c r="G39" s="69"/>
      <c r="H39" s="69"/>
      <c r="I39" s="69"/>
      <c r="J39" s="69"/>
      <c r="K39" s="69"/>
      <c r="L39" s="69"/>
      <c r="M39" s="69"/>
      <c r="N39" s="70"/>
      <c r="O39" s="118"/>
      <c r="P39" s="119"/>
      <c r="Q39" s="120"/>
      <c r="R39" s="356"/>
      <c r="S39" s="291"/>
      <c r="T39" s="292"/>
      <c r="U39" s="292"/>
      <c r="V39" s="292"/>
      <c r="W39" s="293"/>
      <c r="X39" s="136"/>
      <c r="Y39" s="136"/>
      <c r="Z39" s="275" t="s">
        <v>27</v>
      </c>
      <c r="AA39" s="276"/>
      <c r="AB39" s="277"/>
      <c r="AC39" s="339" t="s">
        <v>25</v>
      </c>
      <c r="AD39" s="281"/>
      <c r="AE39" s="283"/>
    </row>
    <row r="40" spans="1:31" ht="11.15" customHeight="1">
      <c r="A40" s="307"/>
      <c r="B40" s="288"/>
      <c r="C40" s="311"/>
      <c r="D40" s="311"/>
      <c r="E40" s="71"/>
      <c r="F40" s="72"/>
      <c r="G40" s="72"/>
      <c r="H40" s="72"/>
      <c r="I40" s="72"/>
      <c r="J40" s="72"/>
      <c r="K40" s="72"/>
      <c r="L40" s="72"/>
      <c r="M40" s="72"/>
      <c r="N40" s="73"/>
      <c r="O40" s="121"/>
      <c r="P40" s="122"/>
      <c r="Q40" s="123"/>
      <c r="R40" s="296"/>
      <c r="S40" s="294"/>
      <c r="T40" s="295"/>
      <c r="U40" s="295"/>
      <c r="V40" s="295"/>
      <c r="W40" s="296"/>
      <c r="X40" s="137"/>
      <c r="Y40" s="137"/>
      <c r="Z40" s="297"/>
      <c r="AA40" s="298"/>
      <c r="AB40" s="299"/>
      <c r="AC40" s="301"/>
      <c r="AD40" s="302"/>
      <c r="AE40" s="303"/>
    </row>
    <row r="41" spans="1:31" ht="15" customHeight="1">
      <c r="A41" s="54" t="s">
        <v>31</v>
      </c>
      <c r="B41" s="15"/>
      <c r="C41" s="6"/>
      <c r="D41" s="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"/>
      <c r="P41" s="2"/>
      <c r="Q41" s="2"/>
      <c r="R41" s="17"/>
      <c r="S41" s="18"/>
      <c r="T41" s="18"/>
      <c r="U41" s="19" t="s">
        <v>60</v>
      </c>
      <c r="V41" s="20"/>
      <c r="W41" s="20"/>
      <c r="X41" s="19"/>
      <c r="Y41" s="9"/>
      <c r="Z41" s="21"/>
      <c r="AA41" s="21"/>
      <c r="AB41" s="21"/>
      <c r="AC41" s="22"/>
      <c r="AD41" s="22"/>
      <c r="AE41" s="23"/>
    </row>
    <row r="42" spans="1:31" ht="15" customHeight="1">
      <c r="A42" s="55" t="s">
        <v>23</v>
      </c>
      <c r="B42" s="15"/>
      <c r="C42" s="6"/>
      <c r="D42" s="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"/>
      <c r="P42" s="2"/>
      <c r="Q42" s="2"/>
      <c r="R42" s="17"/>
      <c r="S42" s="18"/>
      <c r="T42" s="18"/>
      <c r="U42" s="25" t="s">
        <v>61</v>
      </c>
      <c r="V42" s="18"/>
      <c r="W42" s="18"/>
      <c r="X42" s="25"/>
      <c r="Y42" s="10"/>
      <c r="Z42" s="26"/>
      <c r="AA42" s="27"/>
      <c r="AB42" s="27"/>
      <c r="AC42" s="28"/>
      <c r="AD42" s="28"/>
      <c r="AE42" s="29"/>
    </row>
    <row r="43" spans="1:31" ht="15" customHeight="1">
      <c r="A43" s="55" t="s">
        <v>24</v>
      </c>
      <c r="B43" s="15"/>
      <c r="C43" s="6"/>
      <c r="D43" s="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"/>
      <c r="P43" s="2"/>
      <c r="Q43" s="2"/>
      <c r="R43" s="17"/>
      <c r="S43" s="18"/>
      <c r="T43" s="18"/>
      <c r="U43" s="37"/>
      <c r="V43" s="30"/>
      <c r="W43" s="30"/>
      <c r="X43" s="25"/>
      <c r="Y43" s="30"/>
      <c r="Z43" s="30"/>
      <c r="AA43" s="30"/>
      <c r="AB43" s="30"/>
      <c r="AC43" s="30"/>
      <c r="AD43" s="30"/>
      <c r="AE43" s="29"/>
    </row>
    <row r="44" spans="1:31" ht="15" customHeight="1">
      <c r="A44" s="24" t="s">
        <v>29</v>
      </c>
      <c r="B44" s="31"/>
      <c r="C44" s="6"/>
      <c r="D44" s="6"/>
      <c r="E44" s="16"/>
      <c r="F44" s="16"/>
      <c r="G44" s="16"/>
      <c r="H44" s="16"/>
      <c r="I44" s="16"/>
      <c r="J44" s="16"/>
      <c r="K44" s="2"/>
      <c r="L44" s="32"/>
      <c r="M44" s="16"/>
      <c r="N44" s="16"/>
      <c r="O44" s="2"/>
      <c r="P44" s="2"/>
      <c r="Q44" s="2"/>
      <c r="R44" s="17"/>
      <c r="S44" s="18"/>
      <c r="T44" s="18"/>
      <c r="U44" s="53" t="s">
        <v>66</v>
      </c>
      <c r="V44" s="18"/>
      <c r="W44" s="30"/>
      <c r="X44" s="30"/>
      <c r="Y44" s="30"/>
      <c r="Z44" s="30"/>
      <c r="AA44" s="30"/>
      <c r="AB44" s="30"/>
      <c r="AC44" s="30"/>
      <c r="AD44" s="30"/>
      <c r="AE44" s="29"/>
    </row>
    <row r="45" spans="1:31" ht="15" customHeight="1">
      <c r="A45" s="51" t="s">
        <v>34</v>
      </c>
      <c r="B45" s="31"/>
      <c r="C45" s="39" t="s">
        <v>69</v>
      </c>
      <c r="D45" s="11"/>
      <c r="E45" s="34"/>
      <c r="F45" s="34"/>
      <c r="G45" s="35"/>
      <c r="J45" s="35" t="s">
        <v>70</v>
      </c>
      <c r="K45" s="50"/>
      <c r="L45" s="36"/>
      <c r="M45" s="2"/>
      <c r="N45" s="17"/>
      <c r="O45" s="18"/>
      <c r="P45" s="39"/>
      <c r="Q45" s="2"/>
      <c r="R45" s="39"/>
      <c r="S45" s="18"/>
      <c r="T45" s="18"/>
      <c r="U45" s="53" t="s">
        <v>67</v>
      </c>
      <c r="V45" s="18"/>
      <c r="W45" s="30"/>
      <c r="X45" s="30"/>
      <c r="Y45" s="30"/>
      <c r="Z45" s="30"/>
      <c r="AA45" s="30"/>
      <c r="AB45" s="30"/>
      <c r="AC45" s="30"/>
      <c r="AD45" s="30"/>
      <c r="AE45" s="38"/>
    </row>
    <row r="46" spans="1:31" ht="15" customHeight="1">
      <c r="A46" s="51" t="s">
        <v>33</v>
      </c>
      <c r="B46" s="31"/>
      <c r="C46" s="39"/>
      <c r="D46" s="6"/>
      <c r="E46" s="16"/>
      <c r="F46" s="16"/>
      <c r="G46" s="16"/>
      <c r="H46" s="32"/>
      <c r="I46" s="16"/>
      <c r="J46" s="16"/>
      <c r="K46" s="16"/>
      <c r="L46" s="16"/>
      <c r="M46" s="16"/>
      <c r="N46" s="16"/>
      <c r="O46" s="2"/>
      <c r="P46" s="40"/>
      <c r="Q46" s="40"/>
      <c r="R46" s="41"/>
      <c r="S46" s="18"/>
      <c r="T46" s="18"/>
      <c r="U46" s="25"/>
      <c r="V46" s="30"/>
      <c r="W46" s="42"/>
      <c r="X46" s="42"/>
      <c r="Y46" s="42"/>
      <c r="Z46" s="42"/>
      <c r="AA46" s="42"/>
      <c r="AB46" s="42"/>
      <c r="AC46" s="42"/>
      <c r="AD46" s="42"/>
      <c r="AE46" s="38"/>
    </row>
    <row r="47" spans="1:31" ht="15" customHeight="1">
      <c r="A47" s="33"/>
      <c r="B47" s="43"/>
      <c r="C47" s="7"/>
      <c r="D47" s="7"/>
      <c r="E47" s="16"/>
      <c r="F47" s="16"/>
      <c r="G47" s="16"/>
      <c r="H47" s="16"/>
      <c r="I47" s="16"/>
      <c r="J47" s="36"/>
      <c r="K47" s="36"/>
      <c r="L47" s="36"/>
      <c r="M47" s="36"/>
      <c r="N47" s="36"/>
      <c r="O47" s="40"/>
      <c r="P47" s="40"/>
      <c r="Q47" s="40"/>
      <c r="R47" s="41"/>
      <c r="S47" s="18"/>
      <c r="T47" s="18"/>
      <c r="U47" s="52" t="s">
        <v>48</v>
      </c>
      <c r="V47" s="18"/>
      <c r="W47" s="30"/>
      <c r="X47" s="30"/>
      <c r="Y47" s="30"/>
      <c r="Z47" s="30"/>
      <c r="AA47" s="30"/>
      <c r="AB47" s="30"/>
      <c r="AC47" s="30"/>
      <c r="AD47" s="30"/>
      <c r="AE47" s="44"/>
    </row>
    <row r="48" spans="1:31" ht="15" customHeight="1">
      <c r="A48" s="24" t="s">
        <v>30</v>
      </c>
      <c r="B48" s="43"/>
      <c r="C48" s="30"/>
      <c r="D48" s="30"/>
      <c r="E48" s="30"/>
      <c r="F48" s="30"/>
      <c r="G48" s="30"/>
      <c r="H48" s="30"/>
      <c r="I48" s="30"/>
      <c r="J48" s="36"/>
      <c r="K48" s="36"/>
      <c r="L48" s="36"/>
      <c r="M48" s="36"/>
      <c r="N48" s="36"/>
      <c r="O48" s="40"/>
      <c r="P48" s="40"/>
      <c r="Q48" s="40"/>
      <c r="R48" s="41"/>
      <c r="S48" s="18"/>
      <c r="T48" s="18"/>
      <c r="U48" s="52" t="s">
        <v>49</v>
      </c>
      <c r="V48" s="18"/>
      <c r="W48" s="30"/>
      <c r="X48" s="30"/>
      <c r="Y48" s="30"/>
      <c r="Z48" s="30"/>
      <c r="AA48" s="30"/>
      <c r="AB48" s="30"/>
      <c r="AC48" s="30"/>
      <c r="AD48" s="30"/>
      <c r="AE48" s="44"/>
    </row>
    <row r="49" spans="1:31" ht="15" customHeight="1">
      <c r="A49" s="45" t="s">
        <v>35</v>
      </c>
      <c r="B49" s="46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12"/>
      <c r="P49" s="12"/>
      <c r="Q49" s="12"/>
      <c r="R49" s="47"/>
      <c r="S49" s="48"/>
      <c r="T49" s="48"/>
      <c r="U49" s="49"/>
      <c r="V49" s="48"/>
      <c r="W49" s="8"/>
      <c r="X49" s="8"/>
      <c r="Y49" s="8"/>
      <c r="Z49" s="8"/>
      <c r="AA49" s="8"/>
      <c r="AB49" s="8"/>
      <c r="AC49" s="8"/>
      <c r="AD49" s="8"/>
      <c r="AE49" s="1" t="s">
        <v>16</v>
      </c>
    </row>
  </sheetData>
  <mergeCells count="117">
    <mergeCell ref="A1:F1"/>
    <mergeCell ref="G1:N1"/>
    <mergeCell ref="O1:Q1"/>
    <mergeCell ref="R1:Y1"/>
    <mergeCell ref="Z1:AE1"/>
    <mergeCell ref="A2:F9"/>
    <mergeCell ref="G2:N4"/>
    <mergeCell ref="O2:Q9"/>
    <mergeCell ref="R2:R5"/>
    <mergeCell ref="S2:Y5"/>
    <mergeCell ref="A10:B10"/>
    <mergeCell ref="C10:D10"/>
    <mergeCell ref="E10:N10"/>
    <mergeCell ref="O10:Q10"/>
    <mergeCell ref="R10:Y10"/>
    <mergeCell ref="Z10:AE10"/>
    <mergeCell ref="Z2:AE6"/>
    <mergeCell ref="G5:N9"/>
    <mergeCell ref="R6:R9"/>
    <mergeCell ref="S6:Y9"/>
    <mergeCell ref="Z7:AE9"/>
    <mergeCell ref="A11:A16"/>
    <mergeCell ref="B11:B14"/>
    <mergeCell ref="C11:D16"/>
    <mergeCell ref="E11:N16"/>
    <mergeCell ref="O11:Q16"/>
    <mergeCell ref="R11:W14"/>
    <mergeCell ref="B15:B16"/>
    <mergeCell ref="R15:R16"/>
    <mergeCell ref="S15:W16"/>
    <mergeCell ref="X17:Y22"/>
    <mergeCell ref="Z13:AB14"/>
    <mergeCell ref="AC13:AD14"/>
    <mergeCell ref="AE13:AE14"/>
    <mergeCell ref="X11:Y16"/>
    <mergeCell ref="Z11:AB12"/>
    <mergeCell ref="AC11:AD12"/>
    <mergeCell ref="AE11:AE12"/>
    <mergeCell ref="Z15:AB16"/>
    <mergeCell ref="AC15:AD16"/>
    <mergeCell ref="AE15:AE16"/>
    <mergeCell ref="Z21:AB22"/>
    <mergeCell ref="AC21:AD22"/>
    <mergeCell ref="AE21:AE22"/>
    <mergeCell ref="Z19:AB20"/>
    <mergeCell ref="AC19:AD20"/>
    <mergeCell ref="AE19:AE20"/>
    <mergeCell ref="Z17:AB18"/>
    <mergeCell ref="AC17:AD18"/>
    <mergeCell ref="AE17:AE18"/>
    <mergeCell ref="A23:A28"/>
    <mergeCell ref="B23:B26"/>
    <mergeCell ref="C23:D28"/>
    <mergeCell ref="E23:N28"/>
    <mergeCell ref="O23:Q28"/>
    <mergeCell ref="R23:W26"/>
    <mergeCell ref="B21:B22"/>
    <mergeCell ref="R21:R22"/>
    <mergeCell ref="S21:W22"/>
    <mergeCell ref="A17:A22"/>
    <mergeCell ref="B17:B20"/>
    <mergeCell ref="C17:D22"/>
    <mergeCell ref="E17:N22"/>
    <mergeCell ref="O17:Q22"/>
    <mergeCell ref="R17:W20"/>
    <mergeCell ref="B27:B28"/>
    <mergeCell ref="R27:R28"/>
    <mergeCell ref="S27:W28"/>
    <mergeCell ref="Z27:AB28"/>
    <mergeCell ref="AC27:AD28"/>
    <mergeCell ref="AE27:AE28"/>
    <mergeCell ref="Z25:AB26"/>
    <mergeCell ref="AC25:AD26"/>
    <mergeCell ref="AE25:AE26"/>
    <mergeCell ref="X23:Y28"/>
    <mergeCell ref="Z23:AB24"/>
    <mergeCell ref="AC23:AD24"/>
    <mergeCell ref="AE23:AE24"/>
    <mergeCell ref="AC29:AD30"/>
    <mergeCell ref="AE29:AE30"/>
    <mergeCell ref="A29:A34"/>
    <mergeCell ref="B29:B32"/>
    <mergeCell ref="C29:D34"/>
    <mergeCell ref="E29:N34"/>
    <mergeCell ref="O29:Q34"/>
    <mergeCell ref="R29:W32"/>
    <mergeCell ref="X29:Y34"/>
    <mergeCell ref="Z29:AB30"/>
    <mergeCell ref="B33:B34"/>
    <mergeCell ref="R33:R34"/>
    <mergeCell ref="S33:W34"/>
    <mergeCell ref="Z33:AB34"/>
    <mergeCell ref="AC33:AD34"/>
    <mergeCell ref="AE33:AE34"/>
    <mergeCell ref="Z31:AB32"/>
    <mergeCell ref="AC31:AD32"/>
    <mergeCell ref="AE31:AE32"/>
    <mergeCell ref="A35:A40"/>
    <mergeCell ref="B35:B38"/>
    <mergeCell ref="C35:D40"/>
    <mergeCell ref="E35:N37"/>
    <mergeCell ref="O35:Q40"/>
    <mergeCell ref="R35:W38"/>
    <mergeCell ref="X35:Y40"/>
    <mergeCell ref="Z35:AB36"/>
    <mergeCell ref="AC35:AD36"/>
    <mergeCell ref="E38:N40"/>
    <mergeCell ref="B39:B40"/>
    <mergeCell ref="R39:R40"/>
    <mergeCell ref="S39:W40"/>
    <mergeCell ref="Z39:AB40"/>
    <mergeCell ref="AC39:AD40"/>
    <mergeCell ref="AE39:AE40"/>
    <mergeCell ref="AE35:AE36"/>
    <mergeCell ref="Z37:AB38"/>
    <mergeCell ref="AC37:AD38"/>
    <mergeCell ref="AE37:AE38"/>
  </mergeCells>
  <phoneticPr fontId="3"/>
  <pageMargins left="0.19685039370078741" right="0.19685039370078741" top="0.19685039370078741" bottom="0.19685039370078741" header="0" footer="0"/>
  <pageSetup paperSize="9" scale="63" orientation="landscape" r:id="rId1"/>
  <headerFooter>
    <oddFooter>&amp;R&amp;D&amp;T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A620-FEB2-42B2-AC06-ACBD66144A66}">
  <sheetPr>
    <pageSetUpPr fitToPage="1"/>
  </sheetPr>
  <dimension ref="A1:AI49"/>
  <sheetViews>
    <sheetView zoomScale="56" zoomScaleNormal="56" workbookViewId="0">
      <selection activeCell="A42" sqref="A42"/>
    </sheetView>
  </sheetViews>
  <sheetFormatPr defaultRowHeight="18"/>
  <cols>
    <col min="1" max="1" width="3.58203125" customWidth="1"/>
    <col min="2" max="2" width="8.58203125" customWidth="1"/>
    <col min="3" max="3" width="6.58203125" customWidth="1"/>
    <col min="4" max="4" width="2.58203125" customWidth="1"/>
    <col min="5" max="14" width="7.08203125" customWidth="1"/>
    <col min="15" max="17" width="5.58203125" customWidth="1"/>
    <col min="18" max="18" width="6.58203125" customWidth="1"/>
    <col min="19" max="23" width="5.58203125" customWidth="1"/>
    <col min="24" max="25" width="6.58203125" customWidth="1"/>
    <col min="26" max="28" width="7.58203125" customWidth="1"/>
    <col min="29" max="30" width="3.58203125" customWidth="1"/>
    <col min="31" max="31" width="21.58203125" customWidth="1"/>
    <col min="32" max="32" width="8.6640625" style="3"/>
    <col min="33" max="33" width="24.25" style="3" customWidth="1"/>
    <col min="34" max="34" width="78" style="3" customWidth="1"/>
    <col min="35" max="35" width="15.58203125" style="3" customWidth="1"/>
  </cols>
  <sheetData>
    <row r="1" spans="1:35" ht="18" customHeight="1">
      <c r="A1" s="250" t="s">
        <v>0</v>
      </c>
      <c r="B1" s="251"/>
      <c r="C1" s="251"/>
      <c r="D1" s="251"/>
      <c r="E1" s="251"/>
      <c r="F1" s="252"/>
      <c r="G1" s="253" t="s">
        <v>1</v>
      </c>
      <c r="H1" s="251"/>
      <c r="I1" s="251"/>
      <c r="J1" s="251"/>
      <c r="K1" s="251"/>
      <c r="L1" s="251"/>
      <c r="M1" s="251"/>
      <c r="N1" s="251"/>
      <c r="O1" s="250" t="s">
        <v>2</v>
      </c>
      <c r="P1" s="251"/>
      <c r="Q1" s="252"/>
      <c r="R1" s="216" t="s">
        <v>3</v>
      </c>
      <c r="S1" s="216"/>
      <c r="T1" s="216"/>
      <c r="U1" s="216"/>
      <c r="V1" s="216"/>
      <c r="W1" s="216"/>
      <c r="X1" s="216"/>
      <c r="Y1" s="216"/>
      <c r="Z1" s="216" t="s">
        <v>4</v>
      </c>
      <c r="AA1" s="216"/>
      <c r="AB1" s="216"/>
      <c r="AC1" s="216"/>
      <c r="AD1" s="216"/>
      <c r="AE1" s="216"/>
    </row>
    <row r="2" spans="1:35" ht="8.15" customHeight="1">
      <c r="A2" s="254" t="s">
        <v>86</v>
      </c>
      <c r="B2" s="255"/>
      <c r="C2" s="255"/>
      <c r="D2" s="255"/>
      <c r="E2" s="255"/>
      <c r="F2" s="256"/>
      <c r="G2" s="257" t="s">
        <v>5</v>
      </c>
      <c r="H2" s="258"/>
      <c r="I2" s="258"/>
      <c r="J2" s="258"/>
      <c r="K2" s="258"/>
      <c r="L2" s="258"/>
      <c r="M2" s="258"/>
      <c r="N2" s="259"/>
      <c r="O2" s="263" t="s">
        <v>87</v>
      </c>
      <c r="P2" s="264"/>
      <c r="Q2" s="265"/>
      <c r="R2" s="232" t="s">
        <v>6</v>
      </c>
      <c r="S2" s="235" t="s">
        <v>44</v>
      </c>
      <c r="T2" s="236"/>
      <c r="U2" s="236"/>
      <c r="V2" s="236"/>
      <c r="W2" s="236"/>
      <c r="X2" s="236"/>
      <c r="Y2" s="237"/>
      <c r="Z2" s="217" t="s">
        <v>72</v>
      </c>
      <c r="AA2" s="218"/>
      <c r="AB2" s="218"/>
      <c r="AC2" s="218"/>
      <c r="AD2" s="218"/>
      <c r="AE2" s="219"/>
    </row>
    <row r="3" spans="1:35" ht="8.15" customHeight="1">
      <c r="A3" s="254"/>
      <c r="B3" s="255"/>
      <c r="C3" s="255"/>
      <c r="D3" s="255"/>
      <c r="E3" s="255"/>
      <c r="F3" s="256"/>
      <c r="G3" s="260"/>
      <c r="H3" s="261"/>
      <c r="I3" s="261"/>
      <c r="J3" s="261"/>
      <c r="K3" s="261"/>
      <c r="L3" s="261"/>
      <c r="M3" s="261"/>
      <c r="N3" s="262"/>
      <c r="O3" s="266"/>
      <c r="P3" s="267"/>
      <c r="Q3" s="268"/>
      <c r="R3" s="233"/>
      <c r="S3" s="238"/>
      <c r="T3" s="238"/>
      <c r="U3" s="238"/>
      <c r="V3" s="238"/>
      <c r="W3" s="238"/>
      <c r="X3" s="238"/>
      <c r="Y3" s="239"/>
      <c r="Z3" s="220"/>
      <c r="AA3" s="221"/>
      <c r="AB3" s="221"/>
      <c r="AC3" s="221"/>
      <c r="AD3" s="221"/>
      <c r="AE3" s="222"/>
    </row>
    <row r="4" spans="1:35" ht="8.15" customHeight="1">
      <c r="A4" s="254"/>
      <c r="B4" s="255"/>
      <c r="C4" s="255"/>
      <c r="D4" s="255"/>
      <c r="E4" s="255"/>
      <c r="F4" s="256"/>
      <c r="G4" s="260"/>
      <c r="H4" s="261"/>
      <c r="I4" s="261"/>
      <c r="J4" s="261"/>
      <c r="K4" s="261"/>
      <c r="L4" s="261"/>
      <c r="M4" s="261"/>
      <c r="N4" s="262"/>
      <c r="O4" s="266"/>
      <c r="P4" s="267"/>
      <c r="Q4" s="268"/>
      <c r="R4" s="233"/>
      <c r="S4" s="238"/>
      <c r="T4" s="238"/>
      <c r="U4" s="238"/>
      <c r="V4" s="238"/>
      <c r="W4" s="238"/>
      <c r="X4" s="238"/>
      <c r="Y4" s="239"/>
      <c r="Z4" s="220"/>
      <c r="AA4" s="221"/>
      <c r="AB4" s="221"/>
      <c r="AC4" s="221"/>
      <c r="AD4" s="221"/>
      <c r="AE4" s="222"/>
    </row>
    <row r="5" spans="1:35" ht="8.15" customHeight="1">
      <c r="A5" s="254"/>
      <c r="B5" s="255"/>
      <c r="C5" s="255"/>
      <c r="D5" s="255"/>
      <c r="E5" s="255"/>
      <c r="F5" s="256"/>
      <c r="G5" s="226" t="s">
        <v>38</v>
      </c>
      <c r="H5" s="227"/>
      <c r="I5" s="227"/>
      <c r="J5" s="227"/>
      <c r="K5" s="227"/>
      <c r="L5" s="227"/>
      <c r="M5" s="227"/>
      <c r="N5" s="228"/>
      <c r="O5" s="266"/>
      <c r="P5" s="267"/>
      <c r="Q5" s="268"/>
      <c r="R5" s="234"/>
      <c r="S5" s="240"/>
      <c r="T5" s="240"/>
      <c r="U5" s="240"/>
      <c r="V5" s="240"/>
      <c r="W5" s="240"/>
      <c r="X5" s="240"/>
      <c r="Y5" s="241"/>
      <c r="Z5" s="220"/>
      <c r="AA5" s="221"/>
      <c r="AB5" s="221"/>
      <c r="AC5" s="221"/>
      <c r="AD5" s="221"/>
      <c r="AE5" s="222"/>
    </row>
    <row r="6" spans="1:35" ht="8.15" customHeight="1">
      <c r="A6" s="254"/>
      <c r="B6" s="255"/>
      <c r="C6" s="255"/>
      <c r="D6" s="255"/>
      <c r="E6" s="255"/>
      <c r="F6" s="256"/>
      <c r="G6" s="226"/>
      <c r="H6" s="227"/>
      <c r="I6" s="227"/>
      <c r="J6" s="227"/>
      <c r="K6" s="227"/>
      <c r="L6" s="227"/>
      <c r="M6" s="227"/>
      <c r="N6" s="228"/>
      <c r="O6" s="266"/>
      <c r="P6" s="267"/>
      <c r="Q6" s="268"/>
      <c r="R6" s="232" t="s">
        <v>7</v>
      </c>
      <c r="S6" s="235" t="s">
        <v>45</v>
      </c>
      <c r="T6" s="236"/>
      <c r="U6" s="236"/>
      <c r="V6" s="236"/>
      <c r="W6" s="236"/>
      <c r="X6" s="236"/>
      <c r="Y6" s="237"/>
      <c r="Z6" s="223"/>
      <c r="AA6" s="224"/>
      <c r="AB6" s="224"/>
      <c r="AC6" s="224"/>
      <c r="AD6" s="224"/>
      <c r="AE6" s="225"/>
    </row>
    <row r="7" spans="1:35" ht="8.15" customHeight="1">
      <c r="A7" s="254"/>
      <c r="B7" s="255"/>
      <c r="C7" s="255"/>
      <c r="D7" s="255"/>
      <c r="E7" s="255"/>
      <c r="F7" s="256"/>
      <c r="G7" s="226"/>
      <c r="H7" s="227"/>
      <c r="I7" s="227"/>
      <c r="J7" s="227"/>
      <c r="K7" s="227"/>
      <c r="L7" s="227"/>
      <c r="M7" s="227"/>
      <c r="N7" s="228"/>
      <c r="O7" s="266"/>
      <c r="P7" s="267"/>
      <c r="Q7" s="268"/>
      <c r="R7" s="233"/>
      <c r="S7" s="238"/>
      <c r="T7" s="238"/>
      <c r="U7" s="238"/>
      <c r="V7" s="238"/>
      <c r="W7" s="238"/>
      <c r="X7" s="238"/>
      <c r="Y7" s="239"/>
      <c r="Z7" s="242" t="s">
        <v>71</v>
      </c>
      <c r="AA7" s="243"/>
      <c r="AB7" s="243"/>
      <c r="AC7" s="243"/>
      <c r="AD7" s="243"/>
      <c r="AE7" s="244"/>
    </row>
    <row r="8" spans="1:35" ht="8.15" customHeight="1">
      <c r="A8" s="254"/>
      <c r="B8" s="255"/>
      <c r="C8" s="255"/>
      <c r="D8" s="255"/>
      <c r="E8" s="255"/>
      <c r="F8" s="256"/>
      <c r="G8" s="226"/>
      <c r="H8" s="227"/>
      <c r="I8" s="227"/>
      <c r="J8" s="227"/>
      <c r="K8" s="227"/>
      <c r="L8" s="227"/>
      <c r="M8" s="227"/>
      <c r="N8" s="228"/>
      <c r="O8" s="266"/>
      <c r="P8" s="267"/>
      <c r="Q8" s="268"/>
      <c r="R8" s="233"/>
      <c r="S8" s="238"/>
      <c r="T8" s="238"/>
      <c r="U8" s="238"/>
      <c r="V8" s="238"/>
      <c r="W8" s="238"/>
      <c r="X8" s="238"/>
      <c r="Y8" s="239"/>
      <c r="Z8" s="220"/>
      <c r="AA8" s="221"/>
      <c r="AB8" s="221"/>
      <c r="AC8" s="221"/>
      <c r="AD8" s="221"/>
      <c r="AE8" s="222"/>
      <c r="AF8" s="248"/>
      <c r="AG8" s="204" t="str">
        <f>A2</f>
        <v>KIC1153_KK (2)</v>
      </c>
      <c r="AH8" s="205" t="s">
        <v>18</v>
      </c>
    </row>
    <row r="9" spans="1:35" ht="8.15" customHeight="1">
      <c r="A9" s="254"/>
      <c r="B9" s="255"/>
      <c r="C9" s="255"/>
      <c r="D9" s="255"/>
      <c r="E9" s="255"/>
      <c r="F9" s="256"/>
      <c r="G9" s="229"/>
      <c r="H9" s="230"/>
      <c r="I9" s="230"/>
      <c r="J9" s="230"/>
      <c r="K9" s="230"/>
      <c r="L9" s="230"/>
      <c r="M9" s="230"/>
      <c r="N9" s="231"/>
      <c r="O9" s="269"/>
      <c r="P9" s="270"/>
      <c r="Q9" s="271"/>
      <c r="R9" s="234"/>
      <c r="S9" s="240"/>
      <c r="T9" s="240"/>
      <c r="U9" s="240"/>
      <c r="V9" s="240"/>
      <c r="W9" s="240"/>
      <c r="X9" s="240"/>
      <c r="Y9" s="241"/>
      <c r="Z9" s="245"/>
      <c r="AA9" s="246"/>
      <c r="AB9" s="246"/>
      <c r="AC9" s="246"/>
      <c r="AD9" s="246"/>
      <c r="AE9" s="247"/>
      <c r="AF9" s="249"/>
      <c r="AG9" s="204"/>
      <c r="AH9" s="205"/>
    </row>
    <row r="10" spans="1:35">
      <c r="A10" s="206" t="s">
        <v>8</v>
      </c>
      <c r="B10" s="207"/>
      <c r="C10" s="208" t="s">
        <v>9</v>
      </c>
      <c r="D10" s="208"/>
      <c r="E10" s="209" t="s">
        <v>10</v>
      </c>
      <c r="F10" s="209"/>
      <c r="G10" s="210"/>
      <c r="H10" s="210"/>
      <c r="I10" s="210"/>
      <c r="J10" s="210"/>
      <c r="K10" s="210"/>
      <c r="L10" s="210"/>
      <c r="M10" s="210"/>
      <c r="N10" s="211"/>
      <c r="O10" s="212" t="s">
        <v>11</v>
      </c>
      <c r="P10" s="213"/>
      <c r="Q10" s="214"/>
      <c r="R10" s="215" t="s">
        <v>12</v>
      </c>
      <c r="S10" s="215"/>
      <c r="T10" s="215"/>
      <c r="U10" s="215"/>
      <c r="V10" s="215"/>
      <c r="W10" s="215"/>
      <c r="X10" s="215"/>
      <c r="Y10" s="207"/>
      <c r="Z10" s="216" t="s">
        <v>13</v>
      </c>
      <c r="AA10" s="216"/>
      <c r="AB10" s="216"/>
      <c r="AC10" s="216"/>
      <c r="AD10" s="216"/>
      <c r="AE10" s="216"/>
      <c r="AF10" s="4" t="s">
        <v>19</v>
      </c>
      <c r="AG10" s="5" t="s">
        <v>20</v>
      </c>
      <c r="AH10" s="5" t="s">
        <v>21</v>
      </c>
      <c r="AI10" s="5" t="s">
        <v>22</v>
      </c>
    </row>
    <row r="11" spans="1:35" ht="11.15" customHeight="1">
      <c r="A11" s="101">
        <v>1</v>
      </c>
      <c r="B11" s="105">
        <v>46252</v>
      </c>
      <c r="C11" s="106" t="s">
        <v>43</v>
      </c>
      <c r="D11" s="106"/>
      <c r="E11" s="188" t="s">
        <v>57</v>
      </c>
      <c r="F11" s="110"/>
      <c r="G11" s="110"/>
      <c r="H11" s="110"/>
      <c r="I11" s="110"/>
      <c r="J11" s="110"/>
      <c r="K11" s="110"/>
      <c r="L11" s="110"/>
      <c r="M11" s="110"/>
      <c r="N11" s="111"/>
      <c r="O11" s="189"/>
      <c r="P11" s="190"/>
      <c r="Q11" s="191"/>
      <c r="R11" s="160" t="s">
        <v>41</v>
      </c>
      <c r="S11" s="125"/>
      <c r="T11" s="125"/>
      <c r="U11" s="125"/>
      <c r="V11" s="125"/>
      <c r="W11" s="126"/>
      <c r="X11" s="161" t="s">
        <v>64</v>
      </c>
      <c r="Y11" s="161"/>
      <c r="Z11" s="198" t="s">
        <v>14</v>
      </c>
      <c r="AA11" s="199"/>
      <c r="AB11" s="200"/>
      <c r="AC11" s="201" t="s">
        <v>25</v>
      </c>
      <c r="AD11" s="202"/>
      <c r="AE11" s="203"/>
      <c r="AF11" s="97">
        <f>B11</f>
        <v>46252</v>
      </c>
      <c r="AG11" s="65" t="str">
        <f t="shared" ref="AG11" si="0">Z11</f>
        <v>B:X</v>
      </c>
      <c r="AH11" s="99"/>
      <c r="AI11" s="67">
        <f>AE11</f>
        <v>0</v>
      </c>
    </row>
    <row r="12" spans="1:35" ht="11.15" customHeight="1">
      <c r="A12" s="102"/>
      <c r="B12" s="105"/>
      <c r="C12" s="107"/>
      <c r="D12" s="107"/>
      <c r="E12" s="112"/>
      <c r="F12" s="113"/>
      <c r="G12" s="113"/>
      <c r="H12" s="113"/>
      <c r="I12" s="113"/>
      <c r="J12" s="113"/>
      <c r="K12" s="113"/>
      <c r="L12" s="113"/>
      <c r="M12" s="113"/>
      <c r="N12" s="114"/>
      <c r="O12" s="192"/>
      <c r="P12" s="193"/>
      <c r="Q12" s="194"/>
      <c r="R12" s="127"/>
      <c r="S12" s="128"/>
      <c r="T12" s="128"/>
      <c r="U12" s="128"/>
      <c r="V12" s="128"/>
      <c r="W12" s="129"/>
      <c r="X12" s="162"/>
      <c r="Y12" s="162"/>
      <c r="Z12" s="147"/>
      <c r="AA12" s="148"/>
      <c r="AB12" s="149"/>
      <c r="AC12" s="100"/>
      <c r="AD12" s="90"/>
      <c r="AE12" s="93"/>
      <c r="AF12" s="98"/>
      <c r="AG12" s="65"/>
      <c r="AH12" s="99"/>
      <c r="AI12" s="67"/>
    </row>
    <row r="13" spans="1:35" ht="11.15" customHeight="1">
      <c r="A13" s="102"/>
      <c r="B13" s="105"/>
      <c r="C13" s="107"/>
      <c r="D13" s="107"/>
      <c r="E13" s="112"/>
      <c r="F13" s="113"/>
      <c r="G13" s="113"/>
      <c r="H13" s="113"/>
      <c r="I13" s="113"/>
      <c r="J13" s="113"/>
      <c r="K13" s="113"/>
      <c r="L13" s="113"/>
      <c r="M13" s="113"/>
      <c r="N13" s="114"/>
      <c r="O13" s="192"/>
      <c r="P13" s="193"/>
      <c r="Q13" s="194"/>
      <c r="R13" s="127"/>
      <c r="S13" s="128"/>
      <c r="T13" s="128"/>
      <c r="U13" s="128"/>
      <c r="V13" s="128"/>
      <c r="W13" s="129"/>
      <c r="X13" s="162"/>
      <c r="Y13" s="162"/>
      <c r="Z13" s="147" t="s">
        <v>26</v>
      </c>
      <c r="AA13" s="148"/>
      <c r="AB13" s="149"/>
      <c r="AC13" s="89" t="s">
        <v>25</v>
      </c>
      <c r="AD13" s="90"/>
      <c r="AE13" s="93"/>
      <c r="AF13" s="186"/>
      <c r="AG13" s="65" t="str">
        <f t="shared" ref="AG13" si="1">Z13</f>
        <v>L:X</v>
      </c>
      <c r="AH13" s="175"/>
      <c r="AI13" s="67">
        <f t="shared" ref="AI13" si="2">AE13</f>
        <v>0</v>
      </c>
    </row>
    <row r="14" spans="1:35" ht="11.15" customHeight="1">
      <c r="A14" s="102"/>
      <c r="B14" s="105"/>
      <c r="C14" s="107"/>
      <c r="D14" s="107"/>
      <c r="E14" s="112"/>
      <c r="F14" s="113"/>
      <c r="G14" s="113"/>
      <c r="H14" s="113"/>
      <c r="I14" s="113"/>
      <c r="J14" s="113"/>
      <c r="K14" s="113"/>
      <c r="L14" s="113"/>
      <c r="M14" s="113"/>
      <c r="N14" s="114"/>
      <c r="O14" s="192"/>
      <c r="P14" s="193"/>
      <c r="Q14" s="194"/>
      <c r="R14" s="130"/>
      <c r="S14" s="131"/>
      <c r="T14" s="131"/>
      <c r="U14" s="131"/>
      <c r="V14" s="131"/>
      <c r="W14" s="132"/>
      <c r="X14" s="162"/>
      <c r="Y14" s="162"/>
      <c r="Z14" s="147"/>
      <c r="AA14" s="148"/>
      <c r="AB14" s="149"/>
      <c r="AC14" s="100"/>
      <c r="AD14" s="90"/>
      <c r="AE14" s="93"/>
      <c r="AF14" s="186"/>
      <c r="AG14" s="65"/>
      <c r="AH14" s="176"/>
      <c r="AI14" s="67"/>
    </row>
    <row r="15" spans="1:35" ht="11.15" customHeight="1">
      <c r="A15" s="102"/>
      <c r="B15" s="74" t="str">
        <f>TEXT(B11,"(aaa)")</f>
        <v>(火)</v>
      </c>
      <c r="C15" s="107"/>
      <c r="D15" s="107"/>
      <c r="E15" s="112"/>
      <c r="F15" s="113"/>
      <c r="G15" s="113"/>
      <c r="H15" s="113"/>
      <c r="I15" s="113"/>
      <c r="J15" s="113"/>
      <c r="K15" s="113"/>
      <c r="L15" s="113"/>
      <c r="M15" s="113"/>
      <c r="N15" s="114"/>
      <c r="O15" s="192"/>
      <c r="P15" s="193"/>
      <c r="Q15" s="194"/>
      <c r="R15" s="145" t="s">
        <v>37</v>
      </c>
      <c r="S15" s="78" t="s">
        <v>42</v>
      </c>
      <c r="T15" s="79"/>
      <c r="U15" s="79"/>
      <c r="V15" s="79"/>
      <c r="W15" s="80"/>
      <c r="X15" s="162"/>
      <c r="Y15" s="162"/>
      <c r="Z15" s="147" t="s">
        <v>78</v>
      </c>
      <c r="AA15" s="148"/>
      <c r="AB15" s="149"/>
      <c r="AC15" s="153">
        <v>0.77083333333333337</v>
      </c>
      <c r="AD15" s="90"/>
      <c r="AE15" s="93" t="s">
        <v>79</v>
      </c>
      <c r="AF15" s="186"/>
      <c r="AG15" s="65" t="str">
        <f>Z15</f>
        <v>D:タラキッチン北浜</v>
      </c>
      <c r="AH15" s="175" t="s">
        <v>80</v>
      </c>
      <c r="AI15" s="67" t="str">
        <f t="shared" ref="AI15" si="3">AE15</f>
        <v>06-4256-3615</v>
      </c>
    </row>
    <row r="16" spans="1:35" ht="11.15" customHeight="1">
      <c r="A16" s="103"/>
      <c r="B16" s="75"/>
      <c r="C16" s="108"/>
      <c r="D16" s="108"/>
      <c r="E16" s="177"/>
      <c r="F16" s="178"/>
      <c r="G16" s="178"/>
      <c r="H16" s="178"/>
      <c r="I16" s="178"/>
      <c r="J16" s="178"/>
      <c r="K16" s="178"/>
      <c r="L16" s="178"/>
      <c r="M16" s="178"/>
      <c r="N16" s="179"/>
      <c r="O16" s="195"/>
      <c r="P16" s="196"/>
      <c r="Q16" s="197"/>
      <c r="R16" s="146"/>
      <c r="S16" s="81"/>
      <c r="T16" s="82"/>
      <c r="U16" s="82"/>
      <c r="V16" s="82"/>
      <c r="W16" s="77"/>
      <c r="X16" s="163"/>
      <c r="Y16" s="163"/>
      <c r="Z16" s="150"/>
      <c r="AA16" s="151"/>
      <c r="AB16" s="152"/>
      <c r="AC16" s="91"/>
      <c r="AD16" s="92"/>
      <c r="AE16" s="94"/>
      <c r="AF16" s="187"/>
      <c r="AG16" s="65"/>
      <c r="AH16" s="176"/>
      <c r="AI16" s="67"/>
    </row>
    <row r="17" spans="1:35" ht="11.15" customHeight="1">
      <c r="A17" s="101">
        <v>2</v>
      </c>
      <c r="B17" s="104">
        <f>B11+1</f>
        <v>46253</v>
      </c>
      <c r="C17" s="106" t="s">
        <v>43</v>
      </c>
      <c r="D17" s="106"/>
      <c r="E17" s="109" t="s">
        <v>62</v>
      </c>
      <c r="F17" s="110"/>
      <c r="G17" s="110"/>
      <c r="H17" s="110"/>
      <c r="I17" s="110"/>
      <c r="J17" s="110"/>
      <c r="K17" s="110"/>
      <c r="L17" s="110"/>
      <c r="M17" s="110"/>
      <c r="N17" s="111"/>
      <c r="O17" s="180" t="s">
        <v>65</v>
      </c>
      <c r="P17" s="181"/>
      <c r="Q17" s="182"/>
      <c r="R17" s="160" t="s">
        <v>41</v>
      </c>
      <c r="S17" s="125"/>
      <c r="T17" s="125"/>
      <c r="U17" s="125"/>
      <c r="V17" s="125"/>
      <c r="W17" s="126"/>
      <c r="X17" s="161" t="s">
        <v>64</v>
      </c>
      <c r="Y17" s="161"/>
      <c r="Z17" s="164" t="s">
        <v>15</v>
      </c>
      <c r="AA17" s="165"/>
      <c r="AB17" s="166"/>
      <c r="AC17" s="167">
        <v>0.27083333333333331</v>
      </c>
      <c r="AD17" s="168"/>
      <c r="AE17" s="169"/>
      <c r="AF17" s="97">
        <f>B17</f>
        <v>46253</v>
      </c>
      <c r="AG17" s="65" t="str">
        <f t="shared" ref="AG17" si="4">Z17</f>
        <v>B:ホテル</v>
      </c>
      <c r="AH17" s="99"/>
      <c r="AI17" s="67">
        <f t="shared" ref="AI17" si="5">AE17</f>
        <v>0</v>
      </c>
    </row>
    <row r="18" spans="1:35" ht="11.15" customHeight="1">
      <c r="A18" s="102"/>
      <c r="B18" s="105"/>
      <c r="C18" s="107"/>
      <c r="D18" s="107"/>
      <c r="E18" s="112"/>
      <c r="F18" s="113"/>
      <c r="G18" s="113"/>
      <c r="H18" s="113"/>
      <c r="I18" s="113"/>
      <c r="J18" s="113"/>
      <c r="K18" s="113"/>
      <c r="L18" s="113"/>
      <c r="M18" s="113"/>
      <c r="N18" s="114"/>
      <c r="O18" s="183"/>
      <c r="P18" s="184"/>
      <c r="Q18" s="185"/>
      <c r="R18" s="127"/>
      <c r="S18" s="128"/>
      <c r="T18" s="128"/>
      <c r="U18" s="128"/>
      <c r="V18" s="128"/>
      <c r="W18" s="129"/>
      <c r="X18" s="162"/>
      <c r="Y18" s="162"/>
      <c r="Z18" s="147"/>
      <c r="AA18" s="148"/>
      <c r="AB18" s="149"/>
      <c r="AC18" s="100"/>
      <c r="AD18" s="90"/>
      <c r="AE18" s="93"/>
      <c r="AF18" s="98"/>
      <c r="AG18" s="65"/>
      <c r="AH18" s="99"/>
      <c r="AI18" s="67"/>
    </row>
    <row r="19" spans="1:35" ht="11.15" customHeight="1">
      <c r="A19" s="102"/>
      <c r="B19" s="105"/>
      <c r="C19" s="107"/>
      <c r="D19" s="107"/>
      <c r="E19" s="112"/>
      <c r="F19" s="113"/>
      <c r="G19" s="113"/>
      <c r="H19" s="113"/>
      <c r="I19" s="113"/>
      <c r="J19" s="113"/>
      <c r="K19" s="113"/>
      <c r="L19" s="113"/>
      <c r="M19" s="113"/>
      <c r="N19" s="114"/>
      <c r="O19" s="183"/>
      <c r="P19" s="184"/>
      <c r="Q19" s="185"/>
      <c r="R19" s="127"/>
      <c r="S19" s="128"/>
      <c r="T19" s="128"/>
      <c r="U19" s="128"/>
      <c r="V19" s="128"/>
      <c r="W19" s="129"/>
      <c r="X19" s="162"/>
      <c r="Y19" s="162"/>
      <c r="Z19" s="147" t="s">
        <v>75</v>
      </c>
      <c r="AA19" s="148"/>
      <c r="AB19" s="149"/>
      <c r="AC19" s="153">
        <v>0.52083333333333337</v>
      </c>
      <c r="AD19" s="90"/>
      <c r="AE19" s="174" t="s">
        <v>77</v>
      </c>
      <c r="AF19" s="97"/>
      <c r="AG19" s="65" t="str">
        <f t="shared" ref="AG19" si="6">Z19</f>
        <v>L:ガネーシャ今出川</v>
      </c>
      <c r="AH19" s="66" t="s">
        <v>76</v>
      </c>
      <c r="AI19" s="67" t="str">
        <f t="shared" ref="AI19" si="7">AE19</f>
        <v>075-366-6122</v>
      </c>
    </row>
    <row r="20" spans="1:35" ht="11.15" customHeight="1">
      <c r="A20" s="102"/>
      <c r="B20" s="105"/>
      <c r="C20" s="107"/>
      <c r="D20" s="107"/>
      <c r="E20" s="112"/>
      <c r="F20" s="113"/>
      <c r="G20" s="113"/>
      <c r="H20" s="113"/>
      <c r="I20" s="113"/>
      <c r="J20" s="113"/>
      <c r="K20" s="113"/>
      <c r="L20" s="113"/>
      <c r="M20" s="113"/>
      <c r="N20" s="114"/>
      <c r="O20" s="183"/>
      <c r="P20" s="184"/>
      <c r="Q20" s="185"/>
      <c r="R20" s="130"/>
      <c r="S20" s="131"/>
      <c r="T20" s="131"/>
      <c r="U20" s="131"/>
      <c r="V20" s="131"/>
      <c r="W20" s="132"/>
      <c r="X20" s="162"/>
      <c r="Y20" s="162"/>
      <c r="Z20" s="147"/>
      <c r="AA20" s="148"/>
      <c r="AB20" s="149"/>
      <c r="AC20" s="100"/>
      <c r="AD20" s="90"/>
      <c r="AE20" s="93"/>
      <c r="AF20" s="98"/>
      <c r="AG20" s="65"/>
      <c r="AH20" s="66"/>
      <c r="AI20" s="67"/>
    </row>
    <row r="21" spans="1:35" ht="11.15" customHeight="1">
      <c r="A21" s="102"/>
      <c r="B21" s="74" t="str">
        <f>TEXT(B17,"(aaa)")</f>
        <v>(水)</v>
      </c>
      <c r="C21" s="107"/>
      <c r="D21" s="107"/>
      <c r="E21" s="112"/>
      <c r="F21" s="113"/>
      <c r="G21" s="113"/>
      <c r="H21" s="113"/>
      <c r="I21" s="113"/>
      <c r="J21" s="113"/>
      <c r="K21" s="113"/>
      <c r="L21" s="113"/>
      <c r="M21" s="113"/>
      <c r="N21" s="114"/>
      <c r="O21" s="183"/>
      <c r="P21" s="184"/>
      <c r="Q21" s="185"/>
      <c r="R21" s="145" t="s">
        <v>37</v>
      </c>
      <c r="S21" s="78" t="s">
        <v>42</v>
      </c>
      <c r="T21" s="79"/>
      <c r="U21" s="79"/>
      <c r="V21" s="79"/>
      <c r="W21" s="80"/>
      <c r="X21" s="162"/>
      <c r="Y21" s="162"/>
      <c r="Z21" s="147" t="s">
        <v>78</v>
      </c>
      <c r="AA21" s="148"/>
      <c r="AB21" s="149"/>
      <c r="AC21" s="153">
        <v>0.79166666666666663</v>
      </c>
      <c r="AD21" s="90"/>
      <c r="AE21" s="93" t="s">
        <v>79</v>
      </c>
      <c r="AF21" s="97"/>
      <c r="AG21" s="65" t="str">
        <f t="shared" ref="AG21" si="8">Z21</f>
        <v>D:タラキッチン北浜</v>
      </c>
      <c r="AH21" s="66" t="s">
        <v>80</v>
      </c>
      <c r="AI21" s="67" t="str">
        <f t="shared" ref="AI21" si="9">AE21</f>
        <v>06-4256-3615</v>
      </c>
    </row>
    <row r="22" spans="1:35" ht="11.15" customHeight="1">
      <c r="A22" s="103"/>
      <c r="B22" s="75"/>
      <c r="C22" s="108"/>
      <c r="D22" s="108"/>
      <c r="E22" s="177"/>
      <c r="F22" s="178"/>
      <c r="G22" s="178"/>
      <c r="H22" s="178"/>
      <c r="I22" s="178"/>
      <c r="J22" s="178"/>
      <c r="K22" s="178"/>
      <c r="L22" s="178"/>
      <c r="M22" s="178"/>
      <c r="N22" s="179"/>
      <c r="O22" s="183"/>
      <c r="P22" s="184"/>
      <c r="Q22" s="185"/>
      <c r="R22" s="146"/>
      <c r="S22" s="81"/>
      <c r="T22" s="82"/>
      <c r="U22" s="82"/>
      <c r="V22" s="82"/>
      <c r="W22" s="77"/>
      <c r="X22" s="163"/>
      <c r="Y22" s="163"/>
      <c r="Z22" s="150"/>
      <c r="AA22" s="151"/>
      <c r="AB22" s="152"/>
      <c r="AC22" s="91"/>
      <c r="AD22" s="92"/>
      <c r="AE22" s="94"/>
      <c r="AF22" s="98"/>
      <c r="AG22" s="65"/>
      <c r="AH22" s="66"/>
      <c r="AI22" s="67"/>
    </row>
    <row r="23" spans="1:35" ht="11.15" customHeight="1">
      <c r="A23" s="101">
        <v>3</v>
      </c>
      <c r="B23" s="104">
        <f>B17+1</f>
        <v>46254</v>
      </c>
      <c r="C23" s="106" t="s">
        <v>58</v>
      </c>
      <c r="D23" s="106"/>
      <c r="E23" s="170" t="s">
        <v>84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71" t="s">
        <v>63</v>
      </c>
      <c r="P23" s="171"/>
      <c r="Q23" s="171"/>
      <c r="R23" s="160" t="s">
        <v>39</v>
      </c>
      <c r="S23" s="125"/>
      <c r="T23" s="125"/>
      <c r="U23" s="125"/>
      <c r="V23" s="125"/>
      <c r="W23" s="126"/>
      <c r="X23" s="161" t="s">
        <v>28</v>
      </c>
      <c r="Y23" s="161"/>
      <c r="Z23" s="164" t="s">
        <v>15</v>
      </c>
      <c r="AA23" s="165"/>
      <c r="AB23" s="166"/>
      <c r="AC23" s="167">
        <v>0.27083333333333331</v>
      </c>
      <c r="AD23" s="168"/>
      <c r="AE23" s="169"/>
      <c r="AF23" s="97">
        <f t="shared" ref="AF23" si="10">B23</f>
        <v>46254</v>
      </c>
      <c r="AG23" s="65" t="str">
        <f t="shared" ref="AG23" si="11">Z23</f>
        <v>B:ホテル</v>
      </c>
      <c r="AH23" s="99"/>
      <c r="AI23" s="67">
        <f t="shared" ref="AI23" si="12">AE23</f>
        <v>0</v>
      </c>
    </row>
    <row r="24" spans="1:35" ht="11.15" customHeight="1">
      <c r="A24" s="102"/>
      <c r="B24" s="105"/>
      <c r="C24" s="107"/>
      <c r="D24" s="107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72"/>
      <c r="P24" s="172"/>
      <c r="Q24" s="172"/>
      <c r="R24" s="127"/>
      <c r="S24" s="128"/>
      <c r="T24" s="128"/>
      <c r="U24" s="128"/>
      <c r="V24" s="128"/>
      <c r="W24" s="129"/>
      <c r="X24" s="162"/>
      <c r="Y24" s="162"/>
      <c r="Z24" s="147"/>
      <c r="AA24" s="148"/>
      <c r="AB24" s="149"/>
      <c r="AC24" s="100"/>
      <c r="AD24" s="90"/>
      <c r="AE24" s="93"/>
      <c r="AF24" s="98"/>
      <c r="AG24" s="65"/>
      <c r="AH24" s="99"/>
      <c r="AI24" s="67"/>
    </row>
    <row r="25" spans="1:35" ht="11.15" customHeight="1">
      <c r="A25" s="102"/>
      <c r="B25" s="105"/>
      <c r="C25" s="107"/>
      <c r="D25" s="107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72"/>
      <c r="P25" s="172"/>
      <c r="Q25" s="172"/>
      <c r="R25" s="127"/>
      <c r="S25" s="128"/>
      <c r="T25" s="128"/>
      <c r="U25" s="128"/>
      <c r="V25" s="128"/>
      <c r="W25" s="129"/>
      <c r="X25" s="162"/>
      <c r="Y25" s="162"/>
      <c r="Z25" s="147" t="s">
        <v>81</v>
      </c>
      <c r="AA25" s="148"/>
      <c r="AB25" s="149"/>
      <c r="AC25" s="153">
        <v>0.58333333333333337</v>
      </c>
      <c r="AD25" s="90"/>
      <c r="AE25" s="93" t="s">
        <v>82</v>
      </c>
      <c r="AF25" s="97"/>
      <c r="AG25" s="65" t="str">
        <f t="shared" ref="AG25" si="13">Z25</f>
        <v>L:ザ・ビストロ箱根</v>
      </c>
      <c r="AH25" s="66" t="s">
        <v>83</v>
      </c>
      <c r="AI25" s="67" t="str">
        <f t="shared" ref="AI25" si="14">AE25</f>
        <v>0460-83-8318</v>
      </c>
    </row>
    <row r="26" spans="1:35" ht="11.15" customHeight="1">
      <c r="A26" s="102"/>
      <c r="B26" s="105"/>
      <c r="C26" s="107"/>
      <c r="D26" s="10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72"/>
      <c r="P26" s="172"/>
      <c r="Q26" s="172"/>
      <c r="R26" s="130"/>
      <c r="S26" s="131"/>
      <c r="T26" s="131"/>
      <c r="U26" s="131"/>
      <c r="V26" s="131"/>
      <c r="W26" s="132"/>
      <c r="X26" s="162"/>
      <c r="Y26" s="162"/>
      <c r="Z26" s="147"/>
      <c r="AA26" s="148"/>
      <c r="AB26" s="149"/>
      <c r="AC26" s="100"/>
      <c r="AD26" s="90"/>
      <c r="AE26" s="93"/>
      <c r="AF26" s="98"/>
      <c r="AG26" s="65"/>
      <c r="AH26" s="66"/>
      <c r="AI26" s="67"/>
    </row>
    <row r="27" spans="1:35" ht="11.15" customHeight="1">
      <c r="A27" s="102"/>
      <c r="B27" s="74" t="str">
        <f>TEXT(B23,"(aaa)")</f>
        <v>(木)</v>
      </c>
      <c r="C27" s="107"/>
      <c r="D27" s="10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72"/>
      <c r="P27" s="172"/>
      <c r="Q27" s="172"/>
      <c r="R27" s="145" t="s">
        <v>36</v>
      </c>
      <c r="S27" s="78" t="s">
        <v>40</v>
      </c>
      <c r="T27" s="79"/>
      <c r="U27" s="79"/>
      <c r="V27" s="79"/>
      <c r="W27" s="80"/>
      <c r="X27" s="162"/>
      <c r="Y27" s="162"/>
      <c r="Z27" s="147" t="s">
        <v>53</v>
      </c>
      <c r="AA27" s="148"/>
      <c r="AB27" s="149"/>
      <c r="AC27" s="153">
        <v>0.8125</v>
      </c>
      <c r="AD27" s="90"/>
      <c r="AE27" s="93" t="s">
        <v>54</v>
      </c>
      <c r="AF27" s="97"/>
      <c r="AG27" s="65" t="str">
        <f t="shared" ref="AG27" si="15">Z27</f>
        <v>D:マンディール</v>
      </c>
      <c r="AH27" s="66" t="s">
        <v>74</v>
      </c>
      <c r="AI27" s="67" t="str">
        <f t="shared" ref="AI27" si="16">AE27</f>
        <v>03-3455-2994</v>
      </c>
    </row>
    <row r="28" spans="1:35" ht="11.15" customHeight="1">
      <c r="A28" s="103"/>
      <c r="B28" s="75"/>
      <c r="C28" s="108"/>
      <c r="D28" s="108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73"/>
      <c r="P28" s="173"/>
      <c r="Q28" s="173"/>
      <c r="R28" s="146"/>
      <c r="S28" s="81"/>
      <c r="T28" s="82"/>
      <c r="U28" s="82"/>
      <c r="V28" s="82"/>
      <c r="W28" s="77"/>
      <c r="X28" s="163"/>
      <c r="Y28" s="163"/>
      <c r="Z28" s="150"/>
      <c r="AA28" s="151"/>
      <c r="AB28" s="152"/>
      <c r="AC28" s="91"/>
      <c r="AD28" s="92"/>
      <c r="AE28" s="94"/>
      <c r="AF28" s="98"/>
      <c r="AG28" s="65"/>
      <c r="AH28" s="66"/>
      <c r="AI28" s="67"/>
    </row>
    <row r="29" spans="1:35" ht="11.15" customHeight="1">
      <c r="A29" s="101">
        <v>4</v>
      </c>
      <c r="B29" s="104">
        <f>B23+1</f>
        <v>46255</v>
      </c>
      <c r="C29" s="106" t="s">
        <v>59</v>
      </c>
      <c r="D29" s="106"/>
      <c r="E29" s="154" t="s">
        <v>55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7" t="s">
        <v>68</v>
      </c>
      <c r="P29" s="157"/>
      <c r="Q29" s="157"/>
      <c r="R29" s="160" t="s">
        <v>39</v>
      </c>
      <c r="S29" s="125"/>
      <c r="T29" s="125"/>
      <c r="U29" s="125"/>
      <c r="V29" s="125"/>
      <c r="W29" s="126"/>
      <c r="X29" s="161" t="s">
        <v>28</v>
      </c>
      <c r="Y29" s="161"/>
      <c r="Z29" s="164" t="s">
        <v>15</v>
      </c>
      <c r="AA29" s="165"/>
      <c r="AB29" s="166"/>
      <c r="AC29" s="167">
        <v>0.29166666666666669</v>
      </c>
      <c r="AD29" s="168"/>
      <c r="AE29" s="169"/>
      <c r="AF29" s="97">
        <f t="shared" ref="AF29" si="17">B29</f>
        <v>46255</v>
      </c>
      <c r="AG29" s="65" t="str">
        <f t="shared" ref="AG29" si="18">Z29</f>
        <v>B:ホテル</v>
      </c>
      <c r="AH29" s="99"/>
      <c r="AI29" s="67">
        <f t="shared" ref="AI29" si="19">AE29</f>
        <v>0</v>
      </c>
    </row>
    <row r="30" spans="1:35" ht="11.15" customHeight="1">
      <c r="A30" s="102"/>
      <c r="B30" s="105"/>
      <c r="C30" s="107"/>
      <c r="D30" s="107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8"/>
      <c r="P30" s="158"/>
      <c r="Q30" s="158"/>
      <c r="R30" s="127"/>
      <c r="S30" s="128"/>
      <c r="T30" s="128"/>
      <c r="U30" s="128"/>
      <c r="V30" s="128"/>
      <c r="W30" s="129"/>
      <c r="X30" s="162"/>
      <c r="Y30" s="162"/>
      <c r="Z30" s="147"/>
      <c r="AA30" s="148"/>
      <c r="AB30" s="149"/>
      <c r="AC30" s="100"/>
      <c r="AD30" s="90"/>
      <c r="AE30" s="93"/>
      <c r="AF30" s="98"/>
      <c r="AG30" s="65"/>
      <c r="AH30" s="99"/>
      <c r="AI30" s="67"/>
    </row>
    <row r="31" spans="1:35" ht="11.15" customHeight="1">
      <c r="A31" s="102"/>
      <c r="B31" s="105"/>
      <c r="C31" s="107"/>
      <c r="D31" s="107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8"/>
      <c r="P31" s="158"/>
      <c r="Q31" s="158"/>
      <c r="R31" s="127"/>
      <c r="S31" s="128"/>
      <c r="T31" s="128"/>
      <c r="U31" s="128"/>
      <c r="V31" s="128"/>
      <c r="W31" s="129"/>
      <c r="X31" s="162"/>
      <c r="Y31" s="162"/>
      <c r="Z31" s="147" t="s">
        <v>73</v>
      </c>
      <c r="AA31" s="148"/>
      <c r="AB31" s="149"/>
      <c r="AC31" s="153">
        <v>0.54166666666666663</v>
      </c>
      <c r="AD31" s="90"/>
      <c r="AE31" s="93" t="s">
        <v>54</v>
      </c>
      <c r="AF31" s="97"/>
      <c r="AG31" s="65" t="str">
        <f t="shared" ref="AG31" si="20">Z31</f>
        <v>L:マンディール</v>
      </c>
      <c r="AH31" s="66" t="s">
        <v>74</v>
      </c>
      <c r="AI31" s="67" t="str">
        <f t="shared" ref="AI31" si="21">AE31</f>
        <v>03-3455-2994</v>
      </c>
    </row>
    <row r="32" spans="1:35" ht="11.15" customHeight="1">
      <c r="A32" s="102"/>
      <c r="B32" s="105"/>
      <c r="C32" s="107"/>
      <c r="D32" s="107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8"/>
      <c r="P32" s="158"/>
      <c r="Q32" s="158"/>
      <c r="R32" s="130"/>
      <c r="S32" s="131"/>
      <c r="T32" s="131"/>
      <c r="U32" s="131"/>
      <c r="V32" s="131"/>
      <c r="W32" s="132"/>
      <c r="X32" s="162"/>
      <c r="Y32" s="162"/>
      <c r="Z32" s="147"/>
      <c r="AA32" s="148"/>
      <c r="AB32" s="149"/>
      <c r="AC32" s="100"/>
      <c r="AD32" s="90"/>
      <c r="AE32" s="93"/>
      <c r="AF32" s="98"/>
      <c r="AG32" s="65"/>
      <c r="AH32" s="66"/>
      <c r="AI32" s="67"/>
    </row>
    <row r="33" spans="1:35" ht="11.15" customHeight="1">
      <c r="A33" s="102"/>
      <c r="B33" s="74" t="str">
        <f>TEXT(B29,"(aaa)")</f>
        <v>(金)</v>
      </c>
      <c r="C33" s="107"/>
      <c r="D33" s="107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8"/>
      <c r="P33" s="158"/>
      <c r="Q33" s="158"/>
      <c r="R33" s="145" t="s">
        <v>36</v>
      </c>
      <c r="S33" s="78" t="s">
        <v>40</v>
      </c>
      <c r="T33" s="79"/>
      <c r="U33" s="79"/>
      <c r="V33" s="79"/>
      <c r="W33" s="80"/>
      <c r="X33" s="162"/>
      <c r="Y33" s="162"/>
      <c r="Z33" s="147" t="s">
        <v>53</v>
      </c>
      <c r="AA33" s="148"/>
      <c r="AB33" s="149"/>
      <c r="AC33" s="153">
        <v>0.79166666666666663</v>
      </c>
      <c r="AD33" s="90"/>
      <c r="AE33" s="93" t="s">
        <v>54</v>
      </c>
      <c r="AF33" s="97"/>
      <c r="AG33" s="65" t="str">
        <f t="shared" ref="AG33" si="22">Z33</f>
        <v>D:マンディール</v>
      </c>
      <c r="AH33" s="66" t="s">
        <v>74</v>
      </c>
      <c r="AI33" s="67" t="str">
        <f t="shared" ref="AI33" si="23">AE33</f>
        <v>03-3455-2994</v>
      </c>
    </row>
    <row r="34" spans="1:35" ht="11.15" customHeight="1">
      <c r="A34" s="103"/>
      <c r="B34" s="75"/>
      <c r="C34" s="108"/>
      <c r="D34" s="108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9"/>
      <c r="P34" s="159"/>
      <c r="Q34" s="159"/>
      <c r="R34" s="146"/>
      <c r="S34" s="81"/>
      <c r="T34" s="82"/>
      <c r="U34" s="82"/>
      <c r="V34" s="82"/>
      <c r="W34" s="77"/>
      <c r="X34" s="163"/>
      <c r="Y34" s="163"/>
      <c r="Z34" s="150"/>
      <c r="AA34" s="151"/>
      <c r="AB34" s="152"/>
      <c r="AC34" s="91"/>
      <c r="AD34" s="92"/>
      <c r="AE34" s="94"/>
      <c r="AF34" s="98"/>
      <c r="AG34" s="65"/>
      <c r="AH34" s="66"/>
      <c r="AI34" s="67"/>
    </row>
    <row r="35" spans="1:35" ht="11.15" customHeight="1">
      <c r="A35" s="101">
        <v>5</v>
      </c>
      <c r="B35" s="104">
        <f>B29+1</f>
        <v>46256</v>
      </c>
      <c r="C35" s="106" t="s">
        <v>59</v>
      </c>
      <c r="D35" s="106"/>
      <c r="E35" s="109" t="s">
        <v>50</v>
      </c>
      <c r="F35" s="110"/>
      <c r="G35" s="110"/>
      <c r="H35" s="110"/>
      <c r="I35" s="110"/>
      <c r="J35" s="110"/>
      <c r="K35" s="110"/>
      <c r="L35" s="110"/>
      <c r="M35" s="110"/>
      <c r="N35" s="111"/>
      <c r="O35" s="115"/>
      <c r="P35" s="116"/>
      <c r="Q35" s="117"/>
      <c r="R35" s="124" t="s">
        <v>17</v>
      </c>
      <c r="S35" s="125"/>
      <c r="T35" s="125"/>
      <c r="U35" s="125"/>
      <c r="V35" s="125"/>
      <c r="W35" s="126"/>
      <c r="X35" s="133"/>
      <c r="Y35" s="134"/>
      <c r="Z35" s="138" t="s">
        <v>46</v>
      </c>
      <c r="AA35" s="139"/>
      <c r="AB35" s="140"/>
      <c r="AC35" s="141" t="s">
        <v>47</v>
      </c>
      <c r="AD35" s="142"/>
      <c r="AE35" s="95"/>
      <c r="AF35" s="97">
        <f t="shared" ref="AF35" si="24">B35</f>
        <v>46256</v>
      </c>
      <c r="AG35" s="65" t="str">
        <f t="shared" ref="AG35" si="25">Z35</f>
        <v>B:弁当(？？？？？)</v>
      </c>
      <c r="AH35" s="99"/>
      <c r="AI35" s="67">
        <f t="shared" ref="AI35" si="26">AE35</f>
        <v>0</v>
      </c>
    </row>
    <row r="36" spans="1:35" ht="11.15" customHeight="1">
      <c r="A36" s="102"/>
      <c r="B36" s="105"/>
      <c r="C36" s="107"/>
      <c r="D36" s="107"/>
      <c r="E36" s="112"/>
      <c r="F36" s="113"/>
      <c r="G36" s="113"/>
      <c r="H36" s="113"/>
      <c r="I36" s="113"/>
      <c r="J36" s="113"/>
      <c r="K36" s="113"/>
      <c r="L36" s="113"/>
      <c r="M36" s="113"/>
      <c r="N36" s="114"/>
      <c r="O36" s="118"/>
      <c r="P36" s="119"/>
      <c r="Q36" s="120"/>
      <c r="R36" s="127"/>
      <c r="S36" s="128"/>
      <c r="T36" s="128"/>
      <c r="U36" s="128"/>
      <c r="V36" s="128"/>
      <c r="W36" s="129"/>
      <c r="X36" s="135"/>
      <c r="Y36" s="135"/>
      <c r="Z36" s="83"/>
      <c r="AA36" s="84"/>
      <c r="AB36" s="85"/>
      <c r="AC36" s="143"/>
      <c r="AD36" s="144"/>
      <c r="AE36" s="96"/>
      <c r="AF36" s="98"/>
      <c r="AG36" s="65"/>
      <c r="AH36" s="99"/>
      <c r="AI36" s="67"/>
    </row>
    <row r="37" spans="1:35" ht="11.15" customHeight="1">
      <c r="A37" s="102"/>
      <c r="B37" s="105"/>
      <c r="C37" s="107"/>
      <c r="D37" s="107"/>
      <c r="E37" s="112"/>
      <c r="F37" s="113"/>
      <c r="G37" s="113"/>
      <c r="H37" s="113"/>
      <c r="I37" s="113"/>
      <c r="J37" s="113"/>
      <c r="K37" s="113"/>
      <c r="L37" s="113"/>
      <c r="M37" s="113"/>
      <c r="N37" s="114"/>
      <c r="O37" s="118"/>
      <c r="P37" s="119"/>
      <c r="Q37" s="120"/>
      <c r="R37" s="127"/>
      <c r="S37" s="128"/>
      <c r="T37" s="128"/>
      <c r="U37" s="128"/>
      <c r="V37" s="128"/>
      <c r="W37" s="129"/>
      <c r="X37" s="136"/>
      <c r="Y37" s="136"/>
      <c r="Z37" s="83" t="s">
        <v>26</v>
      </c>
      <c r="AA37" s="84"/>
      <c r="AB37" s="85"/>
      <c r="AC37" s="89" t="s">
        <v>25</v>
      </c>
      <c r="AD37" s="90"/>
      <c r="AE37" s="93"/>
      <c r="AF37" s="97"/>
      <c r="AG37" s="65" t="str">
        <f t="shared" ref="AG37" si="27">Z37</f>
        <v>L:X</v>
      </c>
      <c r="AH37" s="66"/>
      <c r="AI37" s="67">
        <f t="shared" ref="AI37" si="28">AE37</f>
        <v>0</v>
      </c>
    </row>
    <row r="38" spans="1:35" ht="11.15" customHeight="1">
      <c r="A38" s="102"/>
      <c r="B38" s="105"/>
      <c r="C38" s="107"/>
      <c r="D38" s="107"/>
      <c r="E38" s="68" t="s">
        <v>32</v>
      </c>
      <c r="F38" s="69"/>
      <c r="G38" s="69"/>
      <c r="H38" s="69"/>
      <c r="I38" s="69"/>
      <c r="J38" s="69"/>
      <c r="K38" s="69"/>
      <c r="L38" s="69"/>
      <c r="M38" s="69"/>
      <c r="N38" s="70"/>
      <c r="O38" s="118"/>
      <c r="P38" s="119"/>
      <c r="Q38" s="120"/>
      <c r="R38" s="130"/>
      <c r="S38" s="131"/>
      <c r="T38" s="131"/>
      <c r="U38" s="131"/>
      <c r="V38" s="131"/>
      <c r="W38" s="132"/>
      <c r="X38" s="136"/>
      <c r="Y38" s="136"/>
      <c r="Z38" s="83"/>
      <c r="AA38" s="84"/>
      <c r="AB38" s="85"/>
      <c r="AC38" s="100"/>
      <c r="AD38" s="90"/>
      <c r="AE38" s="93"/>
      <c r="AF38" s="98"/>
      <c r="AG38" s="65"/>
      <c r="AH38" s="66"/>
      <c r="AI38" s="67"/>
    </row>
    <row r="39" spans="1:35" ht="11.15" customHeight="1">
      <c r="A39" s="102"/>
      <c r="B39" s="74" t="str">
        <f>TEXT(B35,"(aaa)")</f>
        <v>(土)</v>
      </c>
      <c r="C39" s="107"/>
      <c r="D39" s="107"/>
      <c r="E39" s="68"/>
      <c r="F39" s="69"/>
      <c r="G39" s="69"/>
      <c r="H39" s="69"/>
      <c r="I39" s="69"/>
      <c r="J39" s="69"/>
      <c r="K39" s="69"/>
      <c r="L39" s="69"/>
      <c r="M39" s="69"/>
      <c r="N39" s="70"/>
      <c r="O39" s="118"/>
      <c r="P39" s="119"/>
      <c r="Q39" s="120"/>
      <c r="R39" s="76"/>
      <c r="S39" s="78"/>
      <c r="T39" s="79"/>
      <c r="U39" s="79"/>
      <c r="V39" s="79"/>
      <c r="W39" s="80"/>
      <c r="X39" s="136"/>
      <c r="Y39" s="136"/>
      <c r="Z39" s="83" t="s">
        <v>27</v>
      </c>
      <c r="AA39" s="84"/>
      <c r="AB39" s="85"/>
      <c r="AC39" s="89" t="s">
        <v>25</v>
      </c>
      <c r="AD39" s="90"/>
      <c r="AE39" s="93"/>
      <c r="AF39" s="65"/>
      <c r="AG39" s="65" t="str">
        <f t="shared" ref="AG39" si="29">Z39</f>
        <v>D:X</v>
      </c>
      <c r="AH39" s="66"/>
      <c r="AI39" s="67">
        <f t="shared" ref="AI39" si="30">AE39</f>
        <v>0</v>
      </c>
    </row>
    <row r="40" spans="1:35" ht="11.15" customHeight="1">
      <c r="A40" s="103"/>
      <c r="B40" s="75"/>
      <c r="C40" s="108"/>
      <c r="D40" s="108"/>
      <c r="E40" s="71"/>
      <c r="F40" s="72"/>
      <c r="G40" s="72"/>
      <c r="H40" s="72"/>
      <c r="I40" s="72"/>
      <c r="J40" s="72"/>
      <c r="K40" s="72"/>
      <c r="L40" s="72"/>
      <c r="M40" s="72"/>
      <c r="N40" s="73"/>
      <c r="O40" s="121"/>
      <c r="P40" s="122"/>
      <c r="Q40" s="123"/>
      <c r="R40" s="77"/>
      <c r="S40" s="81"/>
      <c r="T40" s="82"/>
      <c r="U40" s="82"/>
      <c r="V40" s="82"/>
      <c r="W40" s="77"/>
      <c r="X40" s="137"/>
      <c r="Y40" s="137"/>
      <c r="Z40" s="86"/>
      <c r="AA40" s="87"/>
      <c r="AB40" s="88"/>
      <c r="AC40" s="91"/>
      <c r="AD40" s="92"/>
      <c r="AE40" s="94"/>
      <c r="AF40" s="65"/>
      <c r="AG40" s="65"/>
      <c r="AH40" s="66"/>
      <c r="AI40" s="67"/>
    </row>
    <row r="41" spans="1:35" ht="15" customHeight="1">
      <c r="A41" s="14" t="s">
        <v>31</v>
      </c>
      <c r="B41" s="15"/>
      <c r="C41" s="6"/>
      <c r="D41" s="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"/>
      <c r="P41" s="2"/>
      <c r="Q41" s="2"/>
      <c r="R41" s="17"/>
      <c r="S41" s="18"/>
      <c r="T41" s="18"/>
      <c r="U41" s="19" t="s">
        <v>60</v>
      </c>
      <c r="V41" s="20"/>
      <c r="W41" s="20"/>
      <c r="X41" s="19"/>
      <c r="Y41" s="9"/>
      <c r="Z41" s="21"/>
      <c r="AA41" s="21"/>
      <c r="AB41" s="21"/>
      <c r="AC41" s="22"/>
      <c r="AD41" s="22"/>
      <c r="AE41" s="23"/>
      <c r="AF41"/>
      <c r="AG41"/>
      <c r="AH41"/>
      <c r="AI41"/>
    </row>
    <row r="42" spans="1:35" ht="15" customHeight="1">
      <c r="A42" s="24" t="s">
        <v>106</v>
      </c>
      <c r="B42" s="15"/>
      <c r="C42" s="6"/>
      <c r="D42" s="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"/>
      <c r="P42" s="2"/>
      <c r="Q42" s="2"/>
      <c r="R42" s="17"/>
      <c r="S42" s="18"/>
      <c r="T42" s="18"/>
      <c r="U42" s="25" t="s">
        <v>61</v>
      </c>
      <c r="V42" s="18"/>
      <c r="W42" s="18"/>
      <c r="X42" s="25"/>
      <c r="Y42" s="10"/>
      <c r="Z42" s="26"/>
      <c r="AA42" s="27"/>
      <c r="AB42" s="27"/>
      <c r="AC42" s="28"/>
      <c r="AD42" s="28"/>
      <c r="AE42" s="29"/>
      <c r="AF42"/>
      <c r="AG42"/>
      <c r="AH42"/>
      <c r="AI42"/>
    </row>
    <row r="43" spans="1:35" ht="15" customHeight="1">
      <c r="A43" s="24" t="s">
        <v>24</v>
      </c>
      <c r="B43" s="15"/>
      <c r="C43" s="6"/>
      <c r="D43" s="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"/>
      <c r="P43" s="2"/>
      <c r="Q43" s="2"/>
      <c r="R43" s="17"/>
      <c r="S43" s="18"/>
      <c r="T43" s="18"/>
      <c r="U43" s="37"/>
      <c r="V43" s="30"/>
      <c r="W43" s="30"/>
      <c r="X43" s="25"/>
      <c r="Y43" s="30"/>
      <c r="Z43" s="30"/>
      <c r="AA43" s="30"/>
      <c r="AB43" s="30"/>
      <c r="AC43" s="30"/>
      <c r="AD43" s="30"/>
      <c r="AE43" s="29"/>
      <c r="AF43"/>
      <c r="AG43"/>
      <c r="AH43"/>
      <c r="AI43"/>
    </row>
    <row r="44" spans="1:35" ht="15" customHeight="1">
      <c r="A44" s="24" t="s">
        <v>29</v>
      </c>
      <c r="B44" s="31"/>
      <c r="C44" s="6"/>
      <c r="D44" s="6"/>
      <c r="E44" s="16"/>
      <c r="F44" s="16"/>
      <c r="G44" s="16"/>
      <c r="H44" s="16"/>
      <c r="I44" s="16"/>
      <c r="J44" s="16"/>
      <c r="K44" s="2"/>
      <c r="L44" s="32"/>
      <c r="M44" s="16"/>
      <c r="N44" s="16"/>
      <c r="O44" s="2"/>
      <c r="P44" s="2"/>
      <c r="Q44" s="2"/>
      <c r="R44" s="17"/>
      <c r="S44" s="18"/>
      <c r="T44" s="18"/>
      <c r="U44" s="25" t="s">
        <v>66</v>
      </c>
      <c r="V44" s="18"/>
      <c r="W44" s="30"/>
      <c r="X44" s="30"/>
      <c r="Y44" s="30"/>
      <c r="Z44" s="30"/>
      <c r="AA44" s="30"/>
      <c r="AB44" s="30"/>
      <c r="AC44" s="30"/>
      <c r="AD44" s="30"/>
      <c r="AE44" s="29"/>
      <c r="AF44"/>
      <c r="AG44"/>
      <c r="AH44"/>
      <c r="AI44"/>
    </row>
    <row r="45" spans="1:35" ht="15" customHeight="1">
      <c r="A45" s="51" t="s">
        <v>34</v>
      </c>
      <c r="B45" s="31"/>
      <c r="C45" s="39" t="s">
        <v>69</v>
      </c>
      <c r="D45" s="11"/>
      <c r="E45" s="34"/>
      <c r="F45" s="34"/>
      <c r="G45" s="35"/>
      <c r="J45" s="32" t="s">
        <v>70</v>
      </c>
      <c r="K45" s="50"/>
      <c r="L45" s="36"/>
      <c r="M45" s="2"/>
      <c r="N45" s="17"/>
      <c r="O45" s="18"/>
      <c r="P45" s="39"/>
      <c r="Q45" s="2"/>
      <c r="R45" s="39"/>
      <c r="S45" s="18"/>
      <c r="T45" s="18"/>
      <c r="U45" s="37" t="s">
        <v>67</v>
      </c>
      <c r="V45" s="18"/>
      <c r="W45" s="30"/>
      <c r="X45" s="30"/>
      <c r="Y45" s="30"/>
      <c r="Z45" s="30"/>
      <c r="AA45" s="30"/>
      <c r="AB45" s="30"/>
      <c r="AC45" s="30"/>
      <c r="AD45" s="30"/>
      <c r="AE45" s="38"/>
      <c r="AF45"/>
      <c r="AG45"/>
      <c r="AH45"/>
      <c r="AI45"/>
    </row>
    <row r="46" spans="1:35" ht="15" customHeight="1">
      <c r="A46" s="51" t="s">
        <v>33</v>
      </c>
      <c r="B46" s="31"/>
      <c r="C46" s="39"/>
      <c r="D46" s="6"/>
      <c r="E46" s="16"/>
      <c r="F46" s="16"/>
      <c r="G46" s="16"/>
      <c r="H46" s="32"/>
      <c r="I46" s="16"/>
      <c r="J46" s="16"/>
      <c r="K46" s="16"/>
      <c r="L46" s="16"/>
      <c r="M46" s="16"/>
      <c r="N46" s="16"/>
      <c r="O46" s="2"/>
      <c r="P46" s="40"/>
      <c r="Q46" s="40"/>
      <c r="R46" s="41"/>
      <c r="S46" s="18"/>
      <c r="T46" s="18"/>
      <c r="U46" s="25"/>
      <c r="V46" s="30"/>
      <c r="W46" s="42"/>
      <c r="X46" s="42"/>
      <c r="Y46" s="42"/>
      <c r="Z46" s="42"/>
      <c r="AA46" s="42"/>
      <c r="AB46" s="42"/>
      <c r="AC46" s="42"/>
      <c r="AD46" s="42"/>
      <c r="AE46" s="38"/>
      <c r="AF46"/>
      <c r="AG46"/>
      <c r="AH46"/>
      <c r="AI46"/>
    </row>
    <row r="47" spans="1:35" ht="15" customHeight="1">
      <c r="A47" s="33"/>
      <c r="B47" s="43"/>
      <c r="C47" s="7"/>
      <c r="D47" s="7"/>
      <c r="E47" s="16"/>
      <c r="F47" s="16"/>
      <c r="G47" s="16"/>
      <c r="H47" s="16"/>
      <c r="I47" s="16"/>
      <c r="J47" s="36"/>
      <c r="K47" s="36"/>
      <c r="L47" s="36"/>
      <c r="M47" s="36"/>
      <c r="N47" s="36"/>
      <c r="O47" s="40"/>
      <c r="P47" s="40"/>
      <c r="Q47" s="40"/>
      <c r="R47" s="41"/>
      <c r="S47" s="18"/>
      <c r="T47" s="18"/>
      <c r="U47" s="52" t="s">
        <v>48</v>
      </c>
      <c r="V47" s="18"/>
      <c r="W47" s="30"/>
      <c r="X47" s="30"/>
      <c r="Y47" s="30"/>
      <c r="Z47" s="30"/>
      <c r="AA47" s="30"/>
      <c r="AB47" s="30"/>
      <c r="AC47" s="30"/>
      <c r="AD47" s="30"/>
      <c r="AE47" s="44"/>
      <c r="AF47"/>
      <c r="AG47"/>
      <c r="AH47"/>
      <c r="AI47"/>
    </row>
    <row r="48" spans="1:35" ht="15" customHeight="1">
      <c r="A48" s="24" t="s">
        <v>30</v>
      </c>
      <c r="B48" s="43"/>
      <c r="C48" s="30"/>
      <c r="D48" s="30"/>
      <c r="E48" s="30"/>
      <c r="F48" s="30"/>
      <c r="G48" s="30"/>
      <c r="H48" s="30"/>
      <c r="I48" s="30"/>
      <c r="J48" s="36"/>
      <c r="K48" s="36"/>
      <c r="L48" s="36"/>
      <c r="M48" s="36"/>
      <c r="N48" s="36"/>
      <c r="O48" s="40"/>
      <c r="P48" s="40"/>
      <c r="Q48" s="40"/>
      <c r="R48" s="41"/>
      <c r="S48" s="18"/>
      <c r="T48" s="18"/>
      <c r="U48" s="52" t="s">
        <v>49</v>
      </c>
      <c r="V48" s="18"/>
      <c r="W48" s="30"/>
      <c r="X48" s="30"/>
      <c r="Y48" s="30"/>
      <c r="Z48" s="30"/>
      <c r="AA48" s="30"/>
      <c r="AB48" s="30"/>
      <c r="AC48" s="30"/>
      <c r="AD48" s="30"/>
      <c r="AE48" s="44"/>
      <c r="AF48"/>
      <c r="AG48"/>
      <c r="AH48"/>
      <c r="AI48"/>
    </row>
    <row r="49" spans="1:35" ht="15" customHeight="1">
      <c r="A49" s="45" t="s">
        <v>35</v>
      </c>
      <c r="B49" s="46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12"/>
      <c r="P49" s="12"/>
      <c r="Q49" s="12"/>
      <c r="R49" s="47"/>
      <c r="S49" s="48"/>
      <c r="T49" s="48"/>
      <c r="U49" s="49"/>
      <c r="V49" s="48"/>
      <c r="W49" s="8"/>
      <c r="X49" s="8"/>
      <c r="Y49" s="8"/>
      <c r="Z49" s="8"/>
      <c r="AA49" s="8"/>
      <c r="AB49" s="8"/>
      <c r="AC49" s="8"/>
      <c r="AD49" s="8"/>
      <c r="AE49" s="1" t="s">
        <v>16</v>
      </c>
      <c r="AF49"/>
      <c r="AG49"/>
      <c r="AH49"/>
      <c r="AI49"/>
    </row>
  </sheetData>
  <mergeCells count="180">
    <mergeCell ref="A1:F1"/>
    <mergeCell ref="G1:N1"/>
    <mergeCell ref="O1:Q1"/>
    <mergeCell ref="R1:Y1"/>
    <mergeCell ref="Z1:AE1"/>
    <mergeCell ref="A2:F9"/>
    <mergeCell ref="G2:N4"/>
    <mergeCell ref="O2:Q9"/>
    <mergeCell ref="R2:R5"/>
    <mergeCell ref="S2:Y5"/>
    <mergeCell ref="AG8:AG9"/>
    <mergeCell ref="AH8:AH9"/>
    <mergeCell ref="A10:B10"/>
    <mergeCell ref="C10:D10"/>
    <mergeCell ref="E10:N10"/>
    <mergeCell ref="O10:Q10"/>
    <mergeCell ref="R10:Y10"/>
    <mergeCell ref="Z10:AE10"/>
    <mergeCell ref="Z2:AE6"/>
    <mergeCell ref="G5:N9"/>
    <mergeCell ref="R6:R9"/>
    <mergeCell ref="S6:Y9"/>
    <mergeCell ref="Z7:AE9"/>
    <mergeCell ref="AF8:AF9"/>
    <mergeCell ref="AH11:AH12"/>
    <mergeCell ref="AI11:AI12"/>
    <mergeCell ref="Z13:AB14"/>
    <mergeCell ref="AC13:AD14"/>
    <mergeCell ref="AE13:AE14"/>
    <mergeCell ref="AF13:AF14"/>
    <mergeCell ref="AG13:AG14"/>
    <mergeCell ref="AH13:AH14"/>
    <mergeCell ref="AI13:AI14"/>
    <mergeCell ref="Z11:AB12"/>
    <mergeCell ref="AC11:AD12"/>
    <mergeCell ref="AE11:AE12"/>
    <mergeCell ref="AF11:AF12"/>
    <mergeCell ref="AG11:AG12"/>
    <mergeCell ref="AG15:AG16"/>
    <mergeCell ref="AH15:AH16"/>
    <mergeCell ref="AI15:AI16"/>
    <mergeCell ref="A17:A22"/>
    <mergeCell ref="B17:B20"/>
    <mergeCell ref="C17:D22"/>
    <mergeCell ref="E17:N22"/>
    <mergeCell ref="O17:Q22"/>
    <mergeCell ref="R17:W20"/>
    <mergeCell ref="X17:Y22"/>
    <mergeCell ref="X11:Y16"/>
    <mergeCell ref="Z15:AB16"/>
    <mergeCell ref="AC15:AD16"/>
    <mergeCell ref="AE15:AE16"/>
    <mergeCell ref="AF15:AF16"/>
    <mergeCell ref="A11:A16"/>
    <mergeCell ref="B11:B14"/>
    <mergeCell ref="C11:D16"/>
    <mergeCell ref="E11:N16"/>
    <mergeCell ref="O11:Q16"/>
    <mergeCell ref="R11:W14"/>
    <mergeCell ref="B15:B16"/>
    <mergeCell ref="R15:R16"/>
    <mergeCell ref="S15:W16"/>
    <mergeCell ref="AI17:AI18"/>
    <mergeCell ref="Z19:AB20"/>
    <mergeCell ref="AC19:AD20"/>
    <mergeCell ref="AE19:AE20"/>
    <mergeCell ref="AF19:AF20"/>
    <mergeCell ref="AG19:AG20"/>
    <mergeCell ref="AH19:AH20"/>
    <mergeCell ref="AI19:AI20"/>
    <mergeCell ref="Z17:AB18"/>
    <mergeCell ref="AC17:AD18"/>
    <mergeCell ref="AE17:AE18"/>
    <mergeCell ref="AF17:AF18"/>
    <mergeCell ref="AG17:AG18"/>
    <mergeCell ref="AH17:AH18"/>
    <mergeCell ref="AG27:AG28"/>
    <mergeCell ref="AF21:AF22"/>
    <mergeCell ref="AG21:AG22"/>
    <mergeCell ref="AH21:AH22"/>
    <mergeCell ref="AI21:AI22"/>
    <mergeCell ref="A23:A28"/>
    <mergeCell ref="B23:B26"/>
    <mergeCell ref="C23:D28"/>
    <mergeCell ref="E23:N28"/>
    <mergeCell ref="O23:Q28"/>
    <mergeCell ref="R23:W26"/>
    <mergeCell ref="B21:B22"/>
    <mergeCell ref="R21:R22"/>
    <mergeCell ref="S21:W22"/>
    <mergeCell ref="Z21:AB22"/>
    <mergeCell ref="AC21:AD22"/>
    <mergeCell ref="AE21:AE22"/>
    <mergeCell ref="AH23:AH24"/>
    <mergeCell ref="AI23:AI24"/>
    <mergeCell ref="Z25:AB26"/>
    <mergeCell ref="AC25:AD26"/>
    <mergeCell ref="AE25:AE26"/>
    <mergeCell ref="AF25:AF26"/>
    <mergeCell ref="AG25:AG26"/>
    <mergeCell ref="AH25:AH26"/>
    <mergeCell ref="AI25:AI26"/>
    <mergeCell ref="Z23:AB24"/>
    <mergeCell ref="AC23:AD24"/>
    <mergeCell ref="AE23:AE24"/>
    <mergeCell ref="AF23:AF24"/>
    <mergeCell ref="AG23:AG24"/>
    <mergeCell ref="AC29:AD30"/>
    <mergeCell ref="AE29:AE30"/>
    <mergeCell ref="AF29:AF30"/>
    <mergeCell ref="AG29:AG30"/>
    <mergeCell ref="AH29:AH30"/>
    <mergeCell ref="AI29:AI30"/>
    <mergeCell ref="AH27:AH28"/>
    <mergeCell ref="AI27:AI28"/>
    <mergeCell ref="A29:A34"/>
    <mergeCell ref="B29:B32"/>
    <mergeCell ref="C29:D34"/>
    <mergeCell ref="E29:N34"/>
    <mergeCell ref="O29:Q34"/>
    <mergeCell ref="R29:W32"/>
    <mergeCell ref="X29:Y34"/>
    <mergeCell ref="Z29:AB30"/>
    <mergeCell ref="B27:B28"/>
    <mergeCell ref="R27:R28"/>
    <mergeCell ref="S27:W28"/>
    <mergeCell ref="Z27:AB28"/>
    <mergeCell ref="AC27:AD28"/>
    <mergeCell ref="AE27:AE28"/>
    <mergeCell ref="X23:Y28"/>
    <mergeCell ref="AF27:AF28"/>
    <mergeCell ref="AI31:AI32"/>
    <mergeCell ref="B33:B34"/>
    <mergeCell ref="R33:R34"/>
    <mergeCell ref="S33:W34"/>
    <mergeCell ref="Z33:AB34"/>
    <mergeCell ref="AC33:AD34"/>
    <mergeCell ref="AE33:AE34"/>
    <mergeCell ref="AF33:AF34"/>
    <mergeCell ref="AG33:AG34"/>
    <mergeCell ref="AH33:AH34"/>
    <mergeCell ref="Z31:AB32"/>
    <mergeCell ref="AC31:AD32"/>
    <mergeCell ref="AE31:AE32"/>
    <mergeCell ref="AF31:AF32"/>
    <mergeCell ref="AG31:AG32"/>
    <mergeCell ref="AH31:AH32"/>
    <mergeCell ref="AI33:AI34"/>
    <mergeCell ref="A35:A40"/>
    <mergeCell ref="B35:B38"/>
    <mergeCell ref="C35:D40"/>
    <mergeCell ref="E35:N37"/>
    <mergeCell ref="O35:Q40"/>
    <mergeCell ref="R35:W38"/>
    <mergeCell ref="X35:Y40"/>
    <mergeCell ref="Z35:AB36"/>
    <mergeCell ref="AC35:AD36"/>
    <mergeCell ref="AE35:AE36"/>
    <mergeCell ref="AF35:AF36"/>
    <mergeCell ref="AG35:AG36"/>
    <mergeCell ref="AH35:AH36"/>
    <mergeCell ref="AI35:AI36"/>
    <mergeCell ref="Z37:AB38"/>
    <mergeCell ref="AC37:AD38"/>
    <mergeCell ref="AE37:AE38"/>
    <mergeCell ref="AF37:AF38"/>
    <mergeCell ref="AG37:AG38"/>
    <mergeCell ref="AG39:AG40"/>
    <mergeCell ref="AH39:AH40"/>
    <mergeCell ref="AI39:AI40"/>
    <mergeCell ref="AH37:AH38"/>
    <mergeCell ref="AI37:AI38"/>
    <mergeCell ref="E38:N40"/>
    <mergeCell ref="B39:B40"/>
    <mergeCell ref="R39:R40"/>
    <mergeCell ref="S39:W40"/>
    <mergeCell ref="Z39:AB40"/>
    <mergeCell ref="AC39:AD40"/>
    <mergeCell ref="AE39:AE40"/>
    <mergeCell ref="AF39:AF40"/>
  </mergeCells>
  <phoneticPr fontId="3"/>
  <pageMargins left="0.19685039370078741" right="0.19685039370078741" top="0.19685039370078741" bottom="0.19685039370078741" header="0" footer="0"/>
  <pageSetup paperSize="9" scale="69" orientation="landscape" r:id="rId1"/>
  <headerFooter>
    <oddFooter>&amp;R&amp;D&amp;T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9915-48FE-46A7-874E-FC8EDEE39A9D}">
  <sheetPr>
    <pageSetUpPr fitToPage="1"/>
  </sheetPr>
  <dimension ref="A1:AI49"/>
  <sheetViews>
    <sheetView tabSelected="1" zoomScale="56" zoomScaleNormal="56" workbookViewId="0">
      <selection activeCell="A44" sqref="A44"/>
    </sheetView>
  </sheetViews>
  <sheetFormatPr defaultRowHeight="18"/>
  <cols>
    <col min="1" max="1" width="3.58203125" customWidth="1"/>
    <col min="2" max="2" width="8.58203125" customWidth="1"/>
    <col min="3" max="3" width="6.58203125" customWidth="1"/>
    <col min="4" max="4" width="2.58203125" customWidth="1"/>
    <col min="5" max="14" width="7.08203125" customWidth="1"/>
    <col min="15" max="17" width="5.58203125" customWidth="1"/>
    <col min="18" max="18" width="6.58203125" customWidth="1"/>
    <col min="19" max="23" width="5.58203125" customWidth="1"/>
    <col min="24" max="25" width="6.58203125" customWidth="1"/>
    <col min="26" max="28" width="7.58203125" customWidth="1"/>
    <col min="29" max="30" width="3.58203125" customWidth="1"/>
    <col min="31" max="31" width="21.58203125" customWidth="1"/>
    <col min="32" max="32" width="8.6640625" style="3"/>
    <col min="33" max="33" width="24.25" style="3" customWidth="1"/>
    <col min="34" max="34" width="71.58203125" style="3" customWidth="1"/>
    <col min="35" max="35" width="15.58203125" style="3" customWidth="1"/>
  </cols>
  <sheetData>
    <row r="1" spans="1:35" ht="18" customHeight="1">
      <c r="A1" s="250" t="s">
        <v>0</v>
      </c>
      <c r="B1" s="251"/>
      <c r="C1" s="251"/>
      <c r="D1" s="251"/>
      <c r="E1" s="251"/>
      <c r="F1" s="252"/>
      <c r="G1" s="253" t="s">
        <v>1</v>
      </c>
      <c r="H1" s="251"/>
      <c r="I1" s="251"/>
      <c r="J1" s="251"/>
      <c r="K1" s="251"/>
      <c r="L1" s="251"/>
      <c r="M1" s="251"/>
      <c r="N1" s="251"/>
      <c r="O1" s="250" t="s">
        <v>2</v>
      </c>
      <c r="P1" s="251"/>
      <c r="Q1" s="252"/>
      <c r="R1" s="216" t="s">
        <v>3</v>
      </c>
      <c r="S1" s="216"/>
      <c r="T1" s="216"/>
      <c r="U1" s="216"/>
      <c r="V1" s="216"/>
      <c r="W1" s="216"/>
      <c r="X1" s="216"/>
      <c r="Y1" s="216"/>
      <c r="Z1" s="216" t="s">
        <v>4</v>
      </c>
      <c r="AA1" s="216"/>
      <c r="AB1" s="216"/>
      <c r="AC1" s="216"/>
      <c r="AD1" s="216"/>
      <c r="AE1" s="216"/>
    </row>
    <row r="2" spans="1:35" ht="8.15" customHeight="1">
      <c r="A2" s="254" t="s">
        <v>85</v>
      </c>
      <c r="B2" s="255"/>
      <c r="C2" s="255"/>
      <c r="D2" s="255"/>
      <c r="E2" s="255"/>
      <c r="F2" s="256"/>
      <c r="G2" s="257" t="s">
        <v>5</v>
      </c>
      <c r="H2" s="258"/>
      <c r="I2" s="258"/>
      <c r="J2" s="258"/>
      <c r="K2" s="258"/>
      <c r="L2" s="258"/>
      <c r="M2" s="258"/>
      <c r="N2" s="259"/>
      <c r="O2" s="263" t="s">
        <v>87</v>
      </c>
      <c r="P2" s="264"/>
      <c r="Q2" s="265"/>
      <c r="R2" s="232" t="s">
        <v>6</v>
      </c>
      <c r="S2" s="235" t="s">
        <v>44</v>
      </c>
      <c r="T2" s="236"/>
      <c r="U2" s="236"/>
      <c r="V2" s="236"/>
      <c r="W2" s="236"/>
      <c r="X2" s="236"/>
      <c r="Y2" s="237"/>
      <c r="Z2" s="217" t="s">
        <v>51</v>
      </c>
      <c r="AA2" s="218"/>
      <c r="AB2" s="218"/>
      <c r="AC2" s="218"/>
      <c r="AD2" s="218"/>
      <c r="AE2" s="219"/>
    </row>
    <row r="3" spans="1:35" ht="8.15" customHeight="1">
      <c r="A3" s="254"/>
      <c r="B3" s="255"/>
      <c r="C3" s="255"/>
      <c r="D3" s="255"/>
      <c r="E3" s="255"/>
      <c r="F3" s="256"/>
      <c r="G3" s="260"/>
      <c r="H3" s="261"/>
      <c r="I3" s="261"/>
      <c r="J3" s="261"/>
      <c r="K3" s="261"/>
      <c r="L3" s="261"/>
      <c r="M3" s="261"/>
      <c r="N3" s="262"/>
      <c r="O3" s="266"/>
      <c r="P3" s="267"/>
      <c r="Q3" s="268"/>
      <c r="R3" s="233"/>
      <c r="S3" s="238"/>
      <c r="T3" s="238"/>
      <c r="U3" s="238"/>
      <c r="V3" s="238"/>
      <c r="W3" s="238"/>
      <c r="X3" s="238"/>
      <c r="Y3" s="239"/>
      <c r="Z3" s="220"/>
      <c r="AA3" s="221"/>
      <c r="AB3" s="221"/>
      <c r="AC3" s="221"/>
      <c r="AD3" s="221"/>
      <c r="AE3" s="222"/>
    </row>
    <row r="4" spans="1:35" ht="8.15" customHeight="1">
      <c r="A4" s="254"/>
      <c r="B4" s="255"/>
      <c r="C4" s="255"/>
      <c r="D4" s="255"/>
      <c r="E4" s="255"/>
      <c r="F4" s="256"/>
      <c r="G4" s="260"/>
      <c r="H4" s="261"/>
      <c r="I4" s="261"/>
      <c r="J4" s="261"/>
      <c r="K4" s="261"/>
      <c r="L4" s="261"/>
      <c r="M4" s="261"/>
      <c r="N4" s="262"/>
      <c r="O4" s="266"/>
      <c r="P4" s="267"/>
      <c r="Q4" s="268"/>
      <c r="R4" s="233"/>
      <c r="S4" s="238"/>
      <c r="T4" s="238"/>
      <c r="U4" s="238"/>
      <c r="V4" s="238"/>
      <c r="W4" s="238"/>
      <c r="X4" s="238"/>
      <c r="Y4" s="239"/>
      <c r="Z4" s="220"/>
      <c r="AA4" s="221"/>
      <c r="AB4" s="221"/>
      <c r="AC4" s="221"/>
      <c r="AD4" s="221"/>
      <c r="AE4" s="222"/>
    </row>
    <row r="5" spans="1:35" ht="8.15" customHeight="1">
      <c r="A5" s="254"/>
      <c r="B5" s="255"/>
      <c r="C5" s="255"/>
      <c r="D5" s="255"/>
      <c r="E5" s="255"/>
      <c r="F5" s="256"/>
      <c r="G5" s="226" t="s">
        <v>38</v>
      </c>
      <c r="H5" s="227"/>
      <c r="I5" s="227"/>
      <c r="J5" s="227"/>
      <c r="K5" s="227"/>
      <c r="L5" s="227"/>
      <c r="M5" s="227"/>
      <c r="N5" s="228"/>
      <c r="O5" s="266"/>
      <c r="P5" s="267"/>
      <c r="Q5" s="268"/>
      <c r="R5" s="234"/>
      <c r="S5" s="240"/>
      <c r="T5" s="240"/>
      <c r="U5" s="240"/>
      <c r="V5" s="240"/>
      <c r="W5" s="240"/>
      <c r="X5" s="240"/>
      <c r="Y5" s="241"/>
      <c r="Z5" s="220"/>
      <c r="AA5" s="221"/>
      <c r="AB5" s="221"/>
      <c r="AC5" s="221"/>
      <c r="AD5" s="221"/>
      <c r="AE5" s="222"/>
    </row>
    <row r="6" spans="1:35" ht="8.15" customHeight="1">
      <c r="A6" s="254"/>
      <c r="B6" s="255"/>
      <c r="C6" s="255"/>
      <c r="D6" s="255"/>
      <c r="E6" s="255"/>
      <c r="F6" s="256"/>
      <c r="G6" s="226"/>
      <c r="H6" s="227"/>
      <c r="I6" s="227"/>
      <c r="J6" s="227"/>
      <c r="K6" s="227"/>
      <c r="L6" s="227"/>
      <c r="M6" s="227"/>
      <c r="N6" s="228"/>
      <c r="O6" s="266"/>
      <c r="P6" s="267"/>
      <c r="Q6" s="268"/>
      <c r="R6" s="232" t="s">
        <v>7</v>
      </c>
      <c r="S6" s="235" t="s">
        <v>45</v>
      </c>
      <c r="T6" s="236"/>
      <c r="U6" s="236"/>
      <c r="V6" s="236"/>
      <c r="W6" s="236"/>
      <c r="X6" s="236"/>
      <c r="Y6" s="237"/>
      <c r="Z6" s="223"/>
      <c r="AA6" s="224"/>
      <c r="AB6" s="224"/>
      <c r="AC6" s="224"/>
      <c r="AD6" s="224"/>
      <c r="AE6" s="225"/>
    </row>
    <row r="7" spans="1:35" ht="8.15" customHeight="1">
      <c r="A7" s="254"/>
      <c r="B7" s="255"/>
      <c r="C7" s="255"/>
      <c r="D7" s="255"/>
      <c r="E7" s="255"/>
      <c r="F7" s="256"/>
      <c r="G7" s="226"/>
      <c r="H7" s="227"/>
      <c r="I7" s="227"/>
      <c r="J7" s="227"/>
      <c r="K7" s="227"/>
      <c r="L7" s="227"/>
      <c r="M7" s="227"/>
      <c r="N7" s="228"/>
      <c r="O7" s="266"/>
      <c r="P7" s="267"/>
      <c r="Q7" s="268"/>
      <c r="R7" s="233"/>
      <c r="S7" s="238"/>
      <c r="T7" s="238"/>
      <c r="U7" s="238"/>
      <c r="V7" s="238"/>
      <c r="W7" s="238"/>
      <c r="X7" s="238"/>
      <c r="Y7" s="239"/>
      <c r="Z7" s="242" t="s">
        <v>52</v>
      </c>
      <c r="AA7" s="243"/>
      <c r="AB7" s="243"/>
      <c r="AC7" s="243"/>
      <c r="AD7" s="243"/>
      <c r="AE7" s="244"/>
    </row>
    <row r="8" spans="1:35" ht="8.15" customHeight="1">
      <c r="A8" s="254"/>
      <c r="B8" s="255"/>
      <c r="C8" s="255"/>
      <c r="D8" s="255"/>
      <c r="E8" s="255"/>
      <c r="F8" s="256"/>
      <c r="G8" s="226"/>
      <c r="H8" s="227"/>
      <c r="I8" s="227"/>
      <c r="J8" s="227"/>
      <c r="K8" s="227"/>
      <c r="L8" s="227"/>
      <c r="M8" s="227"/>
      <c r="N8" s="228"/>
      <c r="O8" s="266"/>
      <c r="P8" s="267"/>
      <c r="Q8" s="268"/>
      <c r="R8" s="233"/>
      <c r="S8" s="238"/>
      <c r="T8" s="238"/>
      <c r="U8" s="238"/>
      <c r="V8" s="238"/>
      <c r="W8" s="238"/>
      <c r="X8" s="238"/>
      <c r="Y8" s="239"/>
      <c r="Z8" s="220"/>
      <c r="AA8" s="221"/>
      <c r="AB8" s="221"/>
      <c r="AC8" s="221"/>
      <c r="AD8" s="221"/>
      <c r="AE8" s="222"/>
      <c r="AF8" s="248"/>
      <c r="AG8" s="204" t="str">
        <f>A2</f>
        <v>KIC1153_KK (1)</v>
      </c>
      <c r="AH8" s="205" t="s">
        <v>18</v>
      </c>
    </row>
    <row r="9" spans="1:35" ht="8.15" customHeight="1">
      <c r="A9" s="254"/>
      <c r="B9" s="255"/>
      <c r="C9" s="255"/>
      <c r="D9" s="255"/>
      <c r="E9" s="255"/>
      <c r="F9" s="256"/>
      <c r="G9" s="229"/>
      <c r="H9" s="230"/>
      <c r="I9" s="230"/>
      <c r="J9" s="230"/>
      <c r="K9" s="230"/>
      <c r="L9" s="230"/>
      <c r="M9" s="230"/>
      <c r="N9" s="231"/>
      <c r="O9" s="269"/>
      <c r="P9" s="270"/>
      <c r="Q9" s="271"/>
      <c r="R9" s="234"/>
      <c r="S9" s="240"/>
      <c r="T9" s="240"/>
      <c r="U9" s="240"/>
      <c r="V9" s="240"/>
      <c r="W9" s="240"/>
      <c r="X9" s="240"/>
      <c r="Y9" s="241"/>
      <c r="Z9" s="245"/>
      <c r="AA9" s="246"/>
      <c r="AB9" s="246"/>
      <c r="AC9" s="246"/>
      <c r="AD9" s="246"/>
      <c r="AE9" s="247"/>
      <c r="AF9" s="249"/>
      <c r="AG9" s="204"/>
      <c r="AH9" s="205"/>
    </row>
    <row r="10" spans="1:35">
      <c r="A10" s="206" t="s">
        <v>8</v>
      </c>
      <c r="B10" s="207"/>
      <c r="C10" s="208" t="s">
        <v>9</v>
      </c>
      <c r="D10" s="208"/>
      <c r="E10" s="209" t="s">
        <v>10</v>
      </c>
      <c r="F10" s="209"/>
      <c r="G10" s="210"/>
      <c r="H10" s="210"/>
      <c r="I10" s="210"/>
      <c r="J10" s="210"/>
      <c r="K10" s="210"/>
      <c r="L10" s="210"/>
      <c r="M10" s="210"/>
      <c r="N10" s="211"/>
      <c r="O10" s="212" t="s">
        <v>11</v>
      </c>
      <c r="P10" s="213"/>
      <c r="Q10" s="214"/>
      <c r="R10" s="215" t="s">
        <v>12</v>
      </c>
      <c r="S10" s="215"/>
      <c r="T10" s="215"/>
      <c r="U10" s="215"/>
      <c r="V10" s="215"/>
      <c r="W10" s="215"/>
      <c r="X10" s="215"/>
      <c r="Y10" s="207"/>
      <c r="Z10" s="216" t="s">
        <v>13</v>
      </c>
      <c r="AA10" s="216"/>
      <c r="AB10" s="216"/>
      <c r="AC10" s="216"/>
      <c r="AD10" s="216"/>
      <c r="AE10" s="216"/>
      <c r="AF10" s="4" t="s">
        <v>19</v>
      </c>
      <c r="AG10" s="5" t="s">
        <v>20</v>
      </c>
      <c r="AH10" s="5" t="s">
        <v>21</v>
      </c>
      <c r="AI10" s="5" t="s">
        <v>22</v>
      </c>
    </row>
    <row r="11" spans="1:35" ht="11.15" customHeight="1">
      <c r="A11" s="101">
        <v>1</v>
      </c>
      <c r="B11" s="105">
        <v>46252</v>
      </c>
      <c r="C11" s="106" t="s">
        <v>43</v>
      </c>
      <c r="D11" s="106"/>
      <c r="E11" s="188" t="s">
        <v>57</v>
      </c>
      <c r="F11" s="110"/>
      <c r="G11" s="110"/>
      <c r="H11" s="110"/>
      <c r="I11" s="110"/>
      <c r="J11" s="110"/>
      <c r="K11" s="110"/>
      <c r="L11" s="110"/>
      <c r="M11" s="110"/>
      <c r="N11" s="111"/>
      <c r="O11" s="189"/>
      <c r="P11" s="190"/>
      <c r="Q11" s="191"/>
      <c r="R11" s="160" t="s">
        <v>41</v>
      </c>
      <c r="S11" s="125"/>
      <c r="T11" s="125"/>
      <c r="U11" s="125"/>
      <c r="V11" s="125"/>
      <c r="W11" s="126"/>
      <c r="X11" s="161" t="s">
        <v>64</v>
      </c>
      <c r="Y11" s="161"/>
      <c r="Z11" s="198" t="s">
        <v>14</v>
      </c>
      <c r="AA11" s="199"/>
      <c r="AB11" s="200"/>
      <c r="AC11" s="201" t="s">
        <v>25</v>
      </c>
      <c r="AD11" s="202"/>
      <c r="AE11" s="203"/>
      <c r="AF11" s="97">
        <f>B11</f>
        <v>46252</v>
      </c>
      <c r="AG11" s="65" t="str">
        <f t="shared" ref="AG11" si="0">Z11</f>
        <v>B:X</v>
      </c>
      <c r="AH11" s="99"/>
      <c r="AI11" s="67">
        <f>AE11</f>
        <v>0</v>
      </c>
    </row>
    <row r="12" spans="1:35" ht="11.15" customHeight="1">
      <c r="A12" s="102"/>
      <c r="B12" s="105"/>
      <c r="C12" s="107"/>
      <c r="D12" s="107"/>
      <c r="E12" s="112"/>
      <c r="F12" s="113"/>
      <c r="G12" s="113"/>
      <c r="H12" s="113"/>
      <c r="I12" s="113"/>
      <c r="J12" s="113"/>
      <c r="K12" s="113"/>
      <c r="L12" s="113"/>
      <c r="M12" s="113"/>
      <c r="N12" s="114"/>
      <c r="O12" s="192"/>
      <c r="P12" s="193"/>
      <c r="Q12" s="194"/>
      <c r="R12" s="127"/>
      <c r="S12" s="128"/>
      <c r="T12" s="128"/>
      <c r="U12" s="128"/>
      <c r="V12" s="128"/>
      <c r="W12" s="129"/>
      <c r="X12" s="162"/>
      <c r="Y12" s="162"/>
      <c r="Z12" s="147"/>
      <c r="AA12" s="148"/>
      <c r="AB12" s="149"/>
      <c r="AC12" s="100"/>
      <c r="AD12" s="90"/>
      <c r="AE12" s="93"/>
      <c r="AF12" s="98"/>
      <c r="AG12" s="65"/>
      <c r="AH12" s="99"/>
      <c r="AI12" s="67"/>
    </row>
    <row r="13" spans="1:35" ht="11.15" customHeight="1">
      <c r="A13" s="102"/>
      <c r="B13" s="105"/>
      <c r="C13" s="107"/>
      <c r="D13" s="107"/>
      <c r="E13" s="112"/>
      <c r="F13" s="113"/>
      <c r="G13" s="113"/>
      <c r="H13" s="113"/>
      <c r="I13" s="113"/>
      <c r="J13" s="113"/>
      <c r="K13" s="113"/>
      <c r="L13" s="113"/>
      <c r="M13" s="113"/>
      <c r="N13" s="114"/>
      <c r="O13" s="192"/>
      <c r="P13" s="193"/>
      <c r="Q13" s="194"/>
      <c r="R13" s="127"/>
      <c r="S13" s="128"/>
      <c r="T13" s="128"/>
      <c r="U13" s="128"/>
      <c r="V13" s="128"/>
      <c r="W13" s="129"/>
      <c r="X13" s="162"/>
      <c r="Y13" s="162"/>
      <c r="Z13" s="147" t="s">
        <v>26</v>
      </c>
      <c r="AA13" s="148"/>
      <c r="AB13" s="149"/>
      <c r="AC13" s="89" t="s">
        <v>25</v>
      </c>
      <c r="AD13" s="90"/>
      <c r="AE13" s="93"/>
      <c r="AF13" s="186"/>
      <c r="AG13" s="65" t="str">
        <f t="shared" ref="AG13" si="1">Z13</f>
        <v>L:X</v>
      </c>
      <c r="AH13" s="175"/>
      <c r="AI13" s="67">
        <f t="shared" ref="AI13" si="2">AE13</f>
        <v>0</v>
      </c>
    </row>
    <row r="14" spans="1:35" ht="11.15" customHeight="1">
      <c r="A14" s="102"/>
      <c r="B14" s="105"/>
      <c r="C14" s="107"/>
      <c r="D14" s="107"/>
      <c r="E14" s="112"/>
      <c r="F14" s="113"/>
      <c r="G14" s="113"/>
      <c r="H14" s="113"/>
      <c r="I14" s="113"/>
      <c r="J14" s="113"/>
      <c r="K14" s="113"/>
      <c r="L14" s="113"/>
      <c r="M14" s="113"/>
      <c r="N14" s="114"/>
      <c r="O14" s="192"/>
      <c r="P14" s="193"/>
      <c r="Q14" s="194"/>
      <c r="R14" s="130"/>
      <c r="S14" s="131"/>
      <c r="T14" s="131"/>
      <c r="U14" s="131"/>
      <c r="V14" s="131"/>
      <c r="W14" s="132"/>
      <c r="X14" s="162"/>
      <c r="Y14" s="162"/>
      <c r="Z14" s="147"/>
      <c r="AA14" s="148"/>
      <c r="AB14" s="149"/>
      <c r="AC14" s="100"/>
      <c r="AD14" s="90"/>
      <c r="AE14" s="93"/>
      <c r="AF14" s="186"/>
      <c r="AG14" s="65"/>
      <c r="AH14" s="176"/>
      <c r="AI14" s="67"/>
    </row>
    <row r="15" spans="1:35" ht="11.15" customHeight="1">
      <c r="A15" s="102"/>
      <c r="B15" s="74" t="str">
        <f>TEXT(B11,"(aaa)")</f>
        <v>(火)</v>
      </c>
      <c r="C15" s="107"/>
      <c r="D15" s="107"/>
      <c r="E15" s="112"/>
      <c r="F15" s="113"/>
      <c r="G15" s="113"/>
      <c r="H15" s="113"/>
      <c r="I15" s="113"/>
      <c r="J15" s="113"/>
      <c r="K15" s="113"/>
      <c r="L15" s="113"/>
      <c r="M15" s="113"/>
      <c r="N15" s="114"/>
      <c r="O15" s="192"/>
      <c r="P15" s="193"/>
      <c r="Q15" s="194"/>
      <c r="R15" s="145" t="s">
        <v>37</v>
      </c>
      <c r="S15" s="78" t="s">
        <v>42</v>
      </c>
      <c r="T15" s="79"/>
      <c r="U15" s="79"/>
      <c r="V15" s="79"/>
      <c r="W15" s="80"/>
      <c r="X15" s="162"/>
      <c r="Y15" s="162"/>
      <c r="Z15" s="147" t="s">
        <v>78</v>
      </c>
      <c r="AA15" s="148"/>
      <c r="AB15" s="149"/>
      <c r="AC15" s="153">
        <v>0.77083333333333337</v>
      </c>
      <c r="AD15" s="90"/>
      <c r="AE15" s="93" t="s">
        <v>79</v>
      </c>
      <c r="AF15" s="186"/>
      <c r="AG15" s="65" t="str">
        <f>Z15</f>
        <v>D:タラキッチン北浜</v>
      </c>
      <c r="AH15" s="175" t="s">
        <v>80</v>
      </c>
      <c r="AI15" s="67" t="str">
        <f t="shared" ref="AI15" si="3">AE15</f>
        <v>06-4256-3615</v>
      </c>
    </row>
    <row r="16" spans="1:35" ht="11.15" customHeight="1">
      <c r="A16" s="103"/>
      <c r="B16" s="75"/>
      <c r="C16" s="108"/>
      <c r="D16" s="108"/>
      <c r="E16" s="177"/>
      <c r="F16" s="178"/>
      <c r="G16" s="178"/>
      <c r="H16" s="178"/>
      <c r="I16" s="178"/>
      <c r="J16" s="178"/>
      <c r="K16" s="178"/>
      <c r="L16" s="178"/>
      <c r="M16" s="178"/>
      <c r="N16" s="179"/>
      <c r="O16" s="195"/>
      <c r="P16" s="196"/>
      <c r="Q16" s="197"/>
      <c r="R16" s="146"/>
      <c r="S16" s="81"/>
      <c r="T16" s="82"/>
      <c r="U16" s="82"/>
      <c r="V16" s="82"/>
      <c r="W16" s="77"/>
      <c r="X16" s="163"/>
      <c r="Y16" s="163"/>
      <c r="Z16" s="150"/>
      <c r="AA16" s="151"/>
      <c r="AB16" s="152"/>
      <c r="AC16" s="91"/>
      <c r="AD16" s="92"/>
      <c r="AE16" s="94"/>
      <c r="AF16" s="187"/>
      <c r="AG16" s="65"/>
      <c r="AH16" s="176"/>
      <c r="AI16" s="67"/>
    </row>
    <row r="17" spans="1:35" ht="11.15" customHeight="1">
      <c r="A17" s="101">
        <v>2</v>
      </c>
      <c r="B17" s="104">
        <f>B11+1</f>
        <v>46253</v>
      </c>
      <c r="C17" s="106" t="s">
        <v>43</v>
      </c>
      <c r="D17" s="106"/>
      <c r="E17" s="109" t="s">
        <v>62</v>
      </c>
      <c r="F17" s="110"/>
      <c r="G17" s="110"/>
      <c r="H17" s="110"/>
      <c r="I17" s="110"/>
      <c r="J17" s="110"/>
      <c r="K17" s="110"/>
      <c r="L17" s="110"/>
      <c r="M17" s="110"/>
      <c r="N17" s="111"/>
      <c r="O17" s="180" t="s">
        <v>65</v>
      </c>
      <c r="P17" s="181"/>
      <c r="Q17" s="182"/>
      <c r="R17" s="160" t="s">
        <v>41</v>
      </c>
      <c r="S17" s="125"/>
      <c r="T17" s="125"/>
      <c r="U17" s="125"/>
      <c r="V17" s="125"/>
      <c r="W17" s="126"/>
      <c r="X17" s="161" t="s">
        <v>64</v>
      </c>
      <c r="Y17" s="161"/>
      <c r="Z17" s="164" t="s">
        <v>15</v>
      </c>
      <c r="AA17" s="165"/>
      <c r="AB17" s="166"/>
      <c r="AC17" s="167">
        <v>0.27083333333333331</v>
      </c>
      <c r="AD17" s="168"/>
      <c r="AE17" s="169"/>
      <c r="AF17" s="97">
        <f>B17</f>
        <v>46253</v>
      </c>
      <c r="AG17" s="65" t="str">
        <f t="shared" ref="AG17" si="4">Z17</f>
        <v>B:ホテル</v>
      </c>
      <c r="AH17" s="99"/>
      <c r="AI17" s="67">
        <f t="shared" ref="AI17" si="5">AE17</f>
        <v>0</v>
      </c>
    </row>
    <row r="18" spans="1:35" ht="11.15" customHeight="1">
      <c r="A18" s="102"/>
      <c r="B18" s="105"/>
      <c r="C18" s="107"/>
      <c r="D18" s="107"/>
      <c r="E18" s="112"/>
      <c r="F18" s="113"/>
      <c r="G18" s="113"/>
      <c r="H18" s="113"/>
      <c r="I18" s="113"/>
      <c r="J18" s="113"/>
      <c r="K18" s="113"/>
      <c r="L18" s="113"/>
      <c r="M18" s="113"/>
      <c r="N18" s="114"/>
      <c r="O18" s="183"/>
      <c r="P18" s="184"/>
      <c r="Q18" s="185"/>
      <c r="R18" s="127"/>
      <c r="S18" s="128"/>
      <c r="T18" s="128"/>
      <c r="U18" s="128"/>
      <c r="V18" s="128"/>
      <c r="W18" s="129"/>
      <c r="X18" s="162"/>
      <c r="Y18" s="162"/>
      <c r="Z18" s="147"/>
      <c r="AA18" s="148"/>
      <c r="AB18" s="149"/>
      <c r="AC18" s="100"/>
      <c r="AD18" s="90"/>
      <c r="AE18" s="93"/>
      <c r="AF18" s="98"/>
      <c r="AG18" s="65"/>
      <c r="AH18" s="99"/>
      <c r="AI18" s="67"/>
    </row>
    <row r="19" spans="1:35" ht="11.15" customHeight="1">
      <c r="A19" s="102"/>
      <c r="B19" s="105"/>
      <c r="C19" s="107"/>
      <c r="D19" s="107"/>
      <c r="E19" s="112"/>
      <c r="F19" s="113"/>
      <c r="G19" s="113"/>
      <c r="H19" s="113"/>
      <c r="I19" s="113"/>
      <c r="J19" s="113"/>
      <c r="K19" s="113"/>
      <c r="L19" s="113"/>
      <c r="M19" s="113"/>
      <c r="N19" s="114"/>
      <c r="O19" s="183"/>
      <c r="P19" s="184"/>
      <c r="Q19" s="185"/>
      <c r="R19" s="127"/>
      <c r="S19" s="128"/>
      <c r="T19" s="128"/>
      <c r="U19" s="128"/>
      <c r="V19" s="128"/>
      <c r="W19" s="129"/>
      <c r="X19" s="162"/>
      <c r="Y19" s="162"/>
      <c r="Z19" s="147" t="s">
        <v>75</v>
      </c>
      <c r="AA19" s="148"/>
      <c r="AB19" s="149"/>
      <c r="AC19" s="153">
        <v>0.52083333333333337</v>
      </c>
      <c r="AD19" s="90"/>
      <c r="AE19" s="174" t="s">
        <v>77</v>
      </c>
      <c r="AF19" s="97"/>
      <c r="AG19" s="65" t="str">
        <f t="shared" ref="AG19" si="6">Z19</f>
        <v>L:ガネーシャ今出川</v>
      </c>
      <c r="AH19" s="66" t="s">
        <v>76</v>
      </c>
      <c r="AI19" s="67" t="str">
        <f t="shared" ref="AI19" si="7">AE19</f>
        <v>075-366-6122</v>
      </c>
    </row>
    <row r="20" spans="1:35" ht="11.15" customHeight="1">
      <c r="A20" s="102"/>
      <c r="B20" s="105"/>
      <c r="C20" s="107"/>
      <c r="D20" s="107"/>
      <c r="E20" s="112"/>
      <c r="F20" s="113"/>
      <c r="G20" s="113"/>
      <c r="H20" s="113"/>
      <c r="I20" s="113"/>
      <c r="J20" s="113"/>
      <c r="K20" s="113"/>
      <c r="L20" s="113"/>
      <c r="M20" s="113"/>
      <c r="N20" s="114"/>
      <c r="O20" s="183"/>
      <c r="P20" s="184"/>
      <c r="Q20" s="185"/>
      <c r="R20" s="130"/>
      <c r="S20" s="131"/>
      <c r="T20" s="131"/>
      <c r="U20" s="131"/>
      <c r="V20" s="131"/>
      <c r="W20" s="132"/>
      <c r="X20" s="162"/>
      <c r="Y20" s="162"/>
      <c r="Z20" s="147"/>
      <c r="AA20" s="148"/>
      <c r="AB20" s="149"/>
      <c r="AC20" s="100"/>
      <c r="AD20" s="90"/>
      <c r="AE20" s="93"/>
      <c r="AF20" s="98"/>
      <c r="AG20" s="65"/>
      <c r="AH20" s="66"/>
      <c r="AI20" s="67"/>
    </row>
    <row r="21" spans="1:35" ht="11.15" customHeight="1">
      <c r="A21" s="102"/>
      <c r="B21" s="74" t="str">
        <f>TEXT(B17,"(aaa)")</f>
        <v>(水)</v>
      </c>
      <c r="C21" s="107"/>
      <c r="D21" s="107"/>
      <c r="E21" s="112"/>
      <c r="F21" s="113"/>
      <c r="G21" s="113"/>
      <c r="H21" s="113"/>
      <c r="I21" s="113"/>
      <c r="J21" s="113"/>
      <c r="K21" s="113"/>
      <c r="L21" s="113"/>
      <c r="M21" s="113"/>
      <c r="N21" s="114"/>
      <c r="O21" s="183"/>
      <c r="P21" s="184"/>
      <c r="Q21" s="185"/>
      <c r="R21" s="145" t="s">
        <v>37</v>
      </c>
      <c r="S21" s="78" t="s">
        <v>42</v>
      </c>
      <c r="T21" s="79"/>
      <c r="U21" s="79"/>
      <c r="V21" s="79"/>
      <c r="W21" s="80"/>
      <c r="X21" s="162"/>
      <c r="Y21" s="162"/>
      <c r="Z21" s="147" t="s">
        <v>78</v>
      </c>
      <c r="AA21" s="148"/>
      <c r="AB21" s="149"/>
      <c r="AC21" s="153">
        <v>0.79166666666666663</v>
      </c>
      <c r="AD21" s="90"/>
      <c r="AE21" s="93" t="s">
        <v>79</v>
      </c>
      <c r="AF21" s="97"/>
      <c r="AG21" s="65" t="str">
        <f t="shared" ref="AG21" si="8">Z21</f>
        <v>D:タラキッチン北浜</v>
      </c>
      <c r="AH21" s="66" t="s">
        <v>80</v>
      </c>
      <c r="AI21" s="67" t="str">
        <f t="shared" ref="AI21" si="9">AE21</f>
        <v>06-4256-3615</v>
      </c>
    </row>
    <row r="22" spans="1:35" ht="11.15" customHeight="1">
      <c r="A22" s="103"/>
      <c r="B22" s="75"/>
      <c r="C22" s="108"/>
      <c r="D22" s="108"/>
      <c r="E22" s="177"/>
      <c r="F22" s="178"/>
      <c r="G22" s="178"/>
      <c r="H22" s="178"/>
      <c r="I22" s="178"/>
      <c r="J22" s="178"/>
      <c r="K22" s="178"/>
      <c r="L22" s="178"/>
      <c r="M22" s="178"/>
      <c r="N22" s="179"/>
      <c r="O22" s="183"/>
      <c r="P22" s="184"/>
      <c r="Q22" s="185"/>
      <c r="R22" s="146"/>
      <c r="S22" s="81"/>
      <c r="T22" s="82"/>
      <c r="U22" s="82"/>
      <c r="V22" s="82"/>
      <c r="W22" s="77"/>
      <c r="X22" s="163"/>
      <c r="Y22" s="163"/>
      <c r="Z22" s="150"/>
      <c r="AA22" s="151"/>
      <c r="AB22" s="152"/>
      <c r="AC22" s="91"/>
      <c r="AD22" s="92"/>
      <c r="AE22" s="94"/>
      <c r="AF22" s="98"/>
      <c r="AG22" s="65"/>
      <c r="AH22" s="66"/>
      <c r="AI22" s="67"/>
    </row>
    <row r="23" spans="1:35" ht="11.15" customHeight="1">
      <c r="A23" s="101">
        <v>3</v>
      </c>
      <c r="B23" s="104">
        <f>B17+1</f>
        <v>46254</v>
      </c>
      <c r="C23" s="106" t="s">
        <v>58</v>
      </c>
      <c r="D23" s="106"/>
      <c r="E23" s="170" t="s">
        <v>56</v>
      </c>
      <c r="F23" s="154"/>
      <c r="G23" s="154"/>
      <c r="H23" s="154"/>
      <c r="I23" s="154"/>
      <c r="J23" s="154"/>
      <c r="K23" s="154"/>
      <c r="L23" s="154"/>
      <c r="M23" s="154"/>
      <c r="N23" s="154"/>
      <c r="O23" s="171" t="s">
        <v>63</v>
      </c>
      <c r="P23" s="171"/>
      <c r="Q23" s="171"/>
      <c r="R23" s="160" t="s">
        <v>39</v>
      </c>
      <c r="S23" s="125"/>
      <c r="T23" s="125"/>
      <c r="U23" s="125"/>
      <c r="V23" s="125"/>
      <c r="W23" s="126"/>
      <c r="X23" s="161" t="s">
        <v>28</v>
      </c>
      <c r="Y23" s="161"/>
      <c r="Z23" s="164" t="s">
        <v>15</v>
      </c>
      <c r="AA23" s="165"/>
      <c r="AB23" s="166"/>
      <c r="AC23" s="167">
        <v>0.27083333333333331</v>
      </c>
      <c r="AD23" s="168"/>
      <c r="AE23" s="169"/>
      <c r="AF23" s="97">
        <f t="shared" ref="AF23" si="10">B23</f>
        <v>46254</v>
      </c>
      <c r="AG23" s="65" t="str">
        <f t="shared" ref="AG23" si="11">Z23</f>
        <v>B:ホテル</v>
      </c>
      <c r="AH23" s="99"/>
      <c r="AI23" s="67">
        <f t="shared" ref="AI23" si="12">AE23</f>
        <v>0</v>
      </c>
    </row>
    <row r="24" spans="1:35" ht="11.15" customHeight="1">
      <c r="A24" s="102"/>
      <c r="B24" s="105"/>
      <c r="C24" s="107"/>
      <c r="D24" s="107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72"/>
      <c r="P24" s="172"/>
      <c r="Q24" s="172"/>
      <c r="R24" s="127"/>
      <c r="S24" s="128"/>
      <c r="T24" s="128"/>
      <c r="U24" s="128"/>
      <c r="V24" s="128"/>
      <c r="W24" s="129"/>
      <c r="X24" s="162"/>
      <c r="Y24" s="162"/>
      <c r="Z24" s="147"/>
      <c r="AA24" s="148"/>
      <c r="AB24" s="149"/>
      <c r="AC24" s="100"/>
      <c r="AD24" s="90"/>
      <c r="AE24" s="93"/>
      <c r="AF24" s="98"/>
      <c r="AG24" s="65"/>
      <c r="AH24" s="99"/>
      <c r="AI24" s="67"/>
    </row>
    <row r="25" spans="1:35" ht="11.15" customHeight="1">
      <c r="A25" s="102"/>
      <c r="B25" s="105"/>
      <c r="C25" s="107"/>
      <c r="D25" s="107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72"/>
      <c r="P25" s="172"/>
      <c r="Q25" s="172"/>
      <c r="R25" s="127"/>
      <c r="S25" s="128"/>
      <c r="T25" s="128"/>
      <c r="U25" s="128"/>
      <c r="V25" s="128"/>
      <c r="W25" s="129"/>
      <c r="X25" s="162"/>
      <c r="Y25" s="162"/>
      <c r="Z25" s="147" t="s">
        <v>81</v>
      </c>
      <c r="AA25" s="148"/>
      <c r="AB25" s="149"/>
      <c r="AC25" s="153">
        <v>0.53125</v>
      </c>
      <c r="AD25" s="90"/>
      <c r="AE25" s="93" t="s">
        <v>82</v>
      </c>
      <c r="AF25" s="97"/>
      <c r="AG25" s="65" t="str">
        <f t="shared" ref="AG25" si="13">Z25</f>
        <v>L:ザ・ビストロ箱根</v>
      </c>
      <c r="AH25" s="66" t="s">
        <v>83</v>
      </c>
      <c r="AI25" s="67" t="str">
        <f t="shared" ref="AI25" si="14">AE25</f>
        <v>0460-83-8318</v>
      </c>
    </row>
    <row r="26" spans="1:35" ht="11.15" customHeight="1">
      <c r="A26" s="102"/>
      <c r="B26" s="105"/>
      <c r="C26" s="107"/>
      <c r="D26" s="107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72"/>
      <c r="P26" s="172"/>
      <c r="Q26" s="172"/>
      <c r="R26" s="130"/>
      <c r="S26" s="131"/>
      <c r="T26" s="131"/>
      <c r="U26" s="131"/>
      <c r="V26" s="131"/>
      <c r="W26" s="132"/>
      <c r="X26" s="162"/>
      <c r="Y26" s="162"/>
      <c r="Z26" s="147"/>
      <c r="AA26" s="148"/>
      <c r="AB26" s="149"/>
      <c r="AC26" s="100"/>
      <c r="AD26" s="90"/>
      <c r="AE26" s="93"/>
      <c r="AF26" s="98"/>
      <c r="AG26" s="65"/>
      <c r="AH26" s="66"/>
      <c r="AI26" s="67"/>
    </row>
    <row r="27" spans="1:35" ht="11.15" customHeight="1">
      <c r="A27" s="102"/>
      <c r="B27" s="74" t="str">
        <f>TEXT(B23,"(aaa)")</f>
        <v>(木)</v>
      </c>
      <c r="C27" s="107"/>
      <c r="D27" s="107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72"/>
      <c r="P27" s="172"/>
      <c r="Q27" s="172"/>
      <c r="R27" s="145" t="s">
        <v>36</v>
      </c>
      <c r="S27" s="78" t="s">
        <v>40</v>
      </c>
      <c r="T27" s="79"/>
      <c r="U27" s="79"/>
      <c r="V27" s="79"/>
      <c r="W27" s="80"/>
      <c r="X27" s="162"/>
      <c r="Y27" s="162"/>
      <c r="Z27" s="147" t="s">
        <v>53</v>
      </c>
      <c r="AA27" s="148"/>
      <c r="AB27" s="149"/>
      <c r="AC27" s="153">
        <v>0.8125</v>
      </c>
      <c r="AD27" s="90"/>
      <c r="AE27" s="93" t="s">
        <v>54</v>
      </c>
      <c r="AF27" s="97"/>
      <c r="AG27" s="65" t="str">
        <f t="shared" ref="AG27" si="15">Z27</f>
        <v>D:マンディール</v>
      </c>
      <c r="AH27" s="66" t="s">
        <v>74</v>
      </c>
      <c r="AI27" s="67" t="str">
        <f t="shared" ref="AI27" si="16">AE27</f>
        <v>03-3455-2994</v>
      </c>
    </row>
    <row r="28" spans="1:35" ht="11.15" customHeight="1">
      <c r="A28" s="103"/>
      <c r="B28" s="75"/>
      <c r="C28" s="108"/>
      <c r="D28" s="108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73"/>
      <c r="P28" s="173"/>
      <c r="Q28" s="173"/>
      <c r="R28" s="146"/>
      <c r="S28" s="81"/>
      <c r="T28" s="82"/>
      <c r="U28" s="82"/>
      <c r="V28" s="82"/>
      <c r="W28" s="77"/>
      <c r="X28" s="163"/>
      <c r="Y28" s="163"/>
      <c r="Z28" s="150"/>
      <c r="AA28" s="151"/>
      <c r="AB28" s="152"/>
      <c r="AC28" s="91"/>
      <c r="AD28" s="92"/>
      <c r="AE28" s="94"/>
      <c r="AF28" s="98"/>
      <c r="AG28" s="65"/>
      <c r="AH28" s="66"/>
      <c r="AI28" s="67"/>
    </row>
    <row r="29" spans="1:35" ht="11.15" customHeight="1">
      <c r="A29" s="101">
        <v>4</v>
      </c>
      <c r="B29" s="104">
        <f>B23+1</f>
        <v>46255</v>
      </c>
      <c r="C29" s="106" t="s">
        <v>59</v>
      </c>
      <c r="D29" s="106"/>
      <c r="E29" s="154" t="s">
        <v>55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7" t="s">
        <v>68</v>
      </c>
      <c r="P29" s="157"/>
      <c r="Q29" s="157"/>
      <c r="R29" s="160" t="s">
        <v>39</v>
      </c>
      <c r="S29" s="125"/>
      <c r="T29" s="125"/>
      <c r="U29" s="125"/>
      <c r="V29" s="125"/>
      <c r="W29" s="126"/>
      <c r="X29" s="161" t="s">
        <v>28</v>
      </c>
      <c r="Y29" s="161"/>
      <c r="Z29" s="164" t="s">
        <v>15</v>
      </c>
      <c r="AA29" s="165"/>
      <c r="AB29" s="166"/>
      <c r="AC29" s="167">
        <v>0.29166666666666669</v>
      </c>
      <c r="AD29" s="168"/>
      <c r="AE29" s="169"/>
      <c r="AF29" s="97">
        <f t="shared" ref="AF29" si="17">B29</f>
        <v>46255</v>
      </c>
      <c r="AG29" s="65" t="str">
        <f t="shared" ref="AG29" si="18">Z29</f>
        <v>B:ホテル</v>
      </c>
      <c r="AH29" s="99"/>
      <c r="AI29" s="67">
        <f t="shared" ref="AI29" si="19">AE29</f>
        <v>0</v>
      </c>
    </row>
    <row r="30" spans="1:35" ht="11.15" customHeight="1">
      <c r="A30" s="102"/>
      <c r="B30" s="105"/>
      <c r="C30" s="107"/>
      <c r="D30" s="107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8"/>
      <c r="P30" s="158"/>
      <c r="Q30" s="158"/>
      <c r="R30" s="127"/>
      <c r="S30" s="128"/>
      <c r="T30" s="128"/>
      <c r="U30" s="128"/>
      <c r="V30" s="128"/>
      <c r="W30" s="129"/>
      <c r="X30" s="162"/>
      <c r="Y30" s="162"/>
      <c r="Z30" s="147"/>
      <c r="AA30" s="148"/>
      <c r="AB30" s="149"/>
      <c r="AC30" s="100"/>
      <c r="AD30" s="90"/>
      <c r="AE30" s="93"/>
      <c r="AF30" s="98"/>
      <c r="AG30" s="65"/>
      <c r="AH30" s="99"/>
      <c r="AI30" s="67"/>
    </row>
    <row r="31" spans="1:35" ht="11.15" customHeight="1">
      <c r="A31" s="102"/>
      <c r="B31" s="105"/>
      <c r="C31" s="107"/>
      <c r="D31" s="107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8"/>
      <c r="P31" s="158"/>
      <c r="Q31" s="158"/>
      <c r="R31" s="127"/>
      <c r="S31" s="128"/>
      <c r="T31" s="128"/>
      <c r="U31" s="128"/>
      <c r="V31" s="128"/>
      <c r="W31" s="129"/>
      <c r="X31" s="162"/>
      <c r="Y31" s="162"/>
      <c r="Z31" s="147" t="s">
        <v>73</v>
      </c>
      <c r="AA31" s="148"/>
      <c r="AB31" s="149"/>
      <c r="AC31" s="153">
        <v>0.54166666666666663</v>
      </c>
      <c r="AD31" s="90"/>
      <c r="AE31" s="93" t="s">
        <v>54</v>
      </c>
      <c r="AF31" s="97"/>
      <c r="AG31" s="65" t="str">
        <f t="shared" ref="AG31" si="20">Z31</f>
        <v>L:マンディール</v>
      </c>
      <c r="AH31" s="66" t="s">
        <v>74</v>
      </c>
      <c r="AI31" s="67" t="str">
        <f t="shared" ref="AI31" si="21">AE31</f>
        <v>03-3455-2994</v>
      </c>
    </row>
    <row r="32" spans="1:35" ht="11.15" customHeight="1">
      <c r="A32" s="102"/>
      <c r="B32" s="105"/>
      <c r="C32" s="107"/>
      <c r="D32" s="107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8"/>
      <c r="P32" s="158"/>
      <c r="Q32" s="158"/>
      <c r="R32" s="130"/>
      <c r="S32" s="131"/>
      <c r="T32" s="131"/>
      <c r="U32" s="131"/>
      <c r="V32" s="131"/>
      <c r="W32" s="132"/>
      <c r="X32" s="162"/>
      <c r="Y32" s="162"/>
      <c r="Z32" s="147"/>
      <c r="AA32" s="148"/>
      <c r="AB32" s="149"/>
      <c r="AC32" s="100"/>
      <c r="AD32" s="90"/>
      <c r="AE32" s="93"/>
      <c r="AF32" s="98"/>
      <c r="AG32" s="65"/>
      <c r="AH32" s="66"/>
      <c r="AI32" s="67"/>
    </row>
    <row r="33" spans="1:35" ht="11.15" customHeight="1">
      <c r="A33" s="102"/>
      <c r="B33" s="74" t="str">
        <f>TEXT(B29,"(aaa)")</f>
        <v>(金)</v>
      </c>
      <c r="C33" s="107"/>
      <c r="D33" s="107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8"/>
      <c r="P33" s="158"/>
      <c r="Q33" s="158"/>
      <c r="R33" s="145" t="s">
        <v>36</v>
      </c>
      <c r="S33" s="78" t="s">
        <v>40</v>
      </c>
      <c r="T33" s="79"/>
      <c r="U33" s="79"/>
      <c r="V33" s="79"/>
      <c r="W33" s="80"/>
      <c r="X33" s="162"/>
      <c r="Y33" s="162"/>
      <c r="Z33" s="147" t="s">
        <v>53</v>
      </c>
      <c r="AA33" s="148"/>
      <c r="AB33" s="149"/>
      <c r="AC33" s="153">
        <v>0.79166666666666663</v>
      </c>
      <c r="AD33" s="90"/>
      <c r="AE33" s="93" t="s">
        <v>54</v>
      </c>
      <c r="AF33" s="97"/>
      <c r="AG33" s="65" t="str">
        <f t="shared" ref="AG33" si="22">Z33</f>
        <v>D:マンディール</v>
      </c>
      <c r="AH33" s="66" t="s">
        <v>74</v>
      </c>
      <c r="AI33" s="67" t="str">
        <f t="shared" ref="AI33" si="23">AE33</f>
        <v>03-3455-2994</v>
      </c>
    </row>
    <row r="34" spans="1:35" ht="11.15" customHeight="1">
      <c r="A34" s="103"/>
      <c r="B34" s="75"/>
      <c r="C34" s="108"/>
      <c r="D34" s="108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9"/>
      <c r="P34" s="159"/>
      <c r="Q34" s="159"/>
      <c r="R34" s="146"/>
      <c r="S34" s="81"/>
      <c r="T34" s="82"/>
      <c r="U34" s="82"/>
      <c r="V34" s="82"/>
      <c r="W34" s="77"/>
      <c r="X34" s="163"/>
      <c r="Y34" s="163"/>
      <c r="Z34" s="150"/>
      <c r="AA34" s="151"/>
      <c r="AB34" s="152"/>
      <c r="AC34" s="91"/>
      <c r="AD34" s="92"/>
      <c r="AE34" s="94"/>
      <c r="AF34" s="98"/>
      <c r="AG34" s="65"/>
      <c r="AH34" s="66"/>
      <c r="AI34" s="67"/>
    </row>
    <row r="35" spans="1:35" ht="11.15" customHeight="1">
      <c r="A35" s="101">
        <v>5</v>
      </c>
      <c r="B35" s="104">
        <f>B29+1</f>
        <v>46256</v>
      </c>
      <c r="C35" s="106" t="s">
        <v>59</v>
      </c>
      <c r="D35" s="106"/>
      <c r="E35" s="109" t="s">
        <v>50</v>
      </c>
      <c r="F35" s="110"/>
      <c r="G35" s="110"/>
      <c r="H35" s="110"/>
      <c r="I35" s="110"/>
      <c r="J35" s="110"/>
      <c r="K35" s="110"/>
      <c r="L35" s="110"/>
      <c r="M35" s="110"/>
      <c r="N35" s="111"/>
      <c r="O35" s="115"/>
      <c r="P35" s="116"/>
      <c r="Q35" s="117"/>
      <c r="R35" s="124" t="s">
        <v>17</v>
      </c>
      <c r="S35" s="125"/>
      <c r="T35" s="125"/>
      <c r="U35" s="125"/>
      <c r="V35" s="125"/>
      <c r="W35" s="126"/>
      <c r="X35" s="133"/>
      <c r="Y35" s="134"/>
      <c r="Z35" s="138" t="s">
        <v>46</v>
      </c>
      <c r="AA35" s="139"/>
      <c r="AB35" s="140"/>
      <c r="AC35" s="141" t="s">
        <v>47</v>
      </c>
      <c r="AD35" s="142"/>
      <c r="AE35" s="95"/>
      <c r="AF35" s="97">
        <f t="shared" ref="AF35" si="24">B35</f>
        <v>46256</v>
      </c>
      <c r="AG35" s="65" t="str">
        <f t="shared" ref="AG35" si="25">Z35</f>
        <v>B:弁当(？？？？？)</v>
      </c>
      <c r="AH35" s="99"/>
      <c r="AI35" s="67">
        <f t="shared" ref="AI35" si="26">AE35</f>
        <v>0</v>
      </c>
    </row>
    <row r="36" spans="1:35" ht="11.15" customHeight="1">
      <c r="A36" s="102"/>
      <c r="B36" s="105"/>
      <c r="C36" s="107"/>
      <c r="D36" s="107"/>
      <c r="E36" s="112"/>
      <c r="F36" s="113"/>
      <c r="G36" s="113"/>
      <c r="H36" s="113"/>
      <c r="I36" s="113"/>
      <c r="J36" s="113"/>
      <c r="K36" s="113"/>
      <c r="L36" s="113"/>
      <c r="M36" s="113"/>
      <c r="N36" s="114"/>
      <c r="O36" s="118"/>
      <c r="P36" s="119"/>
      <c r="Q36" s="120"/>
      <c r="R36" s="127"/>
      <c r="S36" s="128"/>
      <c r="T36" s="128"/>
      <c r="U36" s="128"/>
      <c r="V36" s="128"/>
      <c r="W36" s="129"/>
      <c r="X36" s="135"/>
      <c r="Y36" s="135"/>
      <c r="Z36" s="83"/>
      <c r="AA36" s="84"/>
      <c r="AB36" s="85"/>
      <c r="AC36" s="143"/>
      <c r="AD36" s="144"/>
      <c r="AE36" s="96"/>
      <c r="AF36" s="98"/>
      <c r="AG36" s="65"/>
      <c r="AH36" s="99"/>
      <c r="AI36" s="67"/>
    </row>
    <row r="37" spans="1:35" ht="11.15" customHeight="1">
      <c r="A37" s="102"/>
      <c r="B37" s="105"/>
      <c r="C37" s="107"/>
      <c r="D37" s="107"/>
      <c r="E37" s="112"/>
      <c r="F37" s="113"/>
      <c r="G37" s="113"/>
      <c r="H37" s="113"/>
      <c r="I37" s="113"/>
      <c r="J37" s="113"/>
      <c r="K37" s="113"/>
      <c r="L37" s="113"/>
      <c r="M37" s="113"/>
      <c r="N37" s="114"/>
      <c r="O37" s="118"/>
      <c r="P37" s="119"/>
      <c r="Q37" s="120"/>
      <c r="R37" s="127"/>
      <c r="S37" s="128"/>
      <c r="T37" s="128"/>
      <c r="U37" s="128"/>
      <c r="V37" s="128"/>
      <c r="W37" s="129"/>
      <c r="X37" s="136"/>
      <c r="Y37" s="136"/>
      <c r="Z37" s="83" t="s">
        <v>26</v>
      </c>
      <c r="AA37" s="84"/>
      <c r="AB37" s="85"/>
      <c r="AC37" s="89" t="s">
        <v>25</v>
      </c>
      <c r="AD37" s="90"/>
      <c r="AE37" s="93"/>
      <c r="AF37" s="97"/>
      <c r="AG37" s="65" t="str">
        <f t="shared" ref="AG37" si="27">Z37</f>
        <v>L:X</v>
      </c>
      <c r="AH37" s="66"/>
      <c r="AI37" s="67">
        <f t="shared" ref="AI37" si="28">AE37</f>
        <v>0</v>
      </c>
    </row>
    <row r="38" spans="1:35" ht="11.15" customHeight="1">
      <c r="A38" s="102"/>
      <c r="B38" s="105"/>
      <c r="C38" s="107"/>
      <c r="D38" s="107"/>
      <c r="E38" s="68" t="s">
        <v>32</v>
      </c>
      <c r="F38" s="69"/>
      <c r="G38" s="69"/>
      <c r="H38" s="69"/>
      <c r="I38" s="69"/>
      <c r="J38" s="69"/>
      <c r="K38" s="69"/>
      <c r="L38" s="69"/>
      <c r="M38" s="69"/>
      <c r="N38" s="70"/>
      <c r="O38" s="118"/>
      <c r="P38" s="119"/>
      <c r="Q38" s="120"/>
      <c r="R38" s="130"/>
      <c r="S38" s="131"/>
      <c r="T38" s="131"/>
      <c r="U38" s="131"/>
      <c r="V38" s="131"/>
      <c r="W38" s="132"/>
      <c r="X38" s="136"/>
      <c r="Y38" s="136"/>
      <c r="Z38" s="83"/>
      <c r="AA38" s="84"/>
      <c r="AB38" s="85"/>
      <c r="AC38" s="100"/>
      <c r="AD38" s="90"/>
      <c r="AE38" s="93"/>
      <c r="AF38" s="98"/>
      <c r="AG38" s="65"/>
      <c r="AH38" s="66"/>
      <c r="AI38" s="67"/>
    </row>
    <row r="39" spans="1:35" ht="11.15" customHeight="1">
      <c r="A39" s="102"/>
      <c r="B39" s="74" t="str">
        <f>TEXT(B35,"(aaa)")</f>
        <v>(土)</v>
      </c>
      <c r="C39" s="107"/>
      <c r="D39" s="107"/>
      <c r="E39" s="68"/>
      <c r="F39" s="69"/>
      <c r="G39" s="69"/>
      <c r="H39" s="69"/>
      <c r="I39" s="69"/>
      <c r="J39" s="69"/>
      <c r="K39" s="69"/>
      <c r="L39" s="69"/>
      <c r="M39" s="69"/>
      <c r="N39" s="70"/>
      <c r="O39" s="118"/>
      <c r="P39" s="119"/>
      <c r="Q39" s="120"/>
      <c r="R39" s="76"/>
      <c r="S39" s="78"/>
      <c r="T39" s="79"/>
      <c r="U39" s="79"/>
      <c r="V39" s="79"/>
      <c r="W39" s="80"/>
      <c r="X39" s="136"/>
      <c r="Y39" s="136"/>
      <c r="Z39" s="83" t="s">
        <v>27</v>
      </c>
      <c r="AA39" s="84"/>
      <c r="AB39" s="85"/>
      <c r="AC39" s="89" t="s">
        <v>25</v>
      </c>
      <c r="AD39" s="90"/>
      <c r="AE39" s="93"/>
      <c r="AF39" s="65"/>
      <c r="AG39" s="65" t="str">
        <f t="shared" ref="AG39" si="29">Z39</f>
        <v>D:X</v>
      </c>
      <c r="AH39" s="66"/>
      <c r="AI39" s="67">
        <f t="shared" ref="AI39" si="30">AE39</f>
        <v>0</v>
      </c>
    </row>
    <row r="40" spans="1:35" ht="11.15" customHeight="1">
      <c r="A40" s="103"/>
      <c r="B40" s="75"/>
      <c r="C40" s="108"/>
      <c r="D40" s="108"/>
      <c r="E40" s="71"/>
      <c r="F40" s="72"/>
      <c r="G40" s="72"/>
      <c r="H40" s="72"/>
      <c r="I40" s="72"/>
      <c r="J40" s="72"/>
      <c r="K40" s="72"/>
      <c r="L40" s="72"/>
      <c r="M40" s="72"/>
      <c r="N40" s="73"/>
      <c r="O40" s="121"/>
      <c r="P40" s="122"/>
      <c r="Q40" s="123"/>
      <c r="R40" s="77"/>
      <c r="S40" s="81"/>
      <c r="T40" s="82"/>
      <c r="U40" s="82"/>
      <c r="V40" s="82"/>
      <c r="W40" s="77"/>
      <c r="X40" s="137"/>
      <c r="Y40" s="137"/>
      <c r="Z40" s="86"/>
      <c r="AA40" s="87"/>
      <c r="AB40" s="88"/>
      <c r="AC40" s="91"/>
      <c r="AD40" s="92"/>
      <c r="AE40" s="94"/>
      <c r="AF40" s="65"/>
      <c r="AG40" s="65"/>
      <c r="AH40" s="66"/>
      <c r="AI40" s="67"/>
    </row>
    <row r="41" spans="1:35" ht="15" customHeight="1">
      <c r="A41" s="14" t="s">
        <v>31</v>
      </c>
      <c r="B41" s="15"/>
      <c r="C41" s="6"/>
      <c r="D41" s="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"/>
      <c r="P41" s="2"/>
      <c r="Q41" s="2"/>
      <c r="R41" s="17"/>
      <c r="S41" s="18"/>
      <c r="T41" s="18"/>
      <c r="U41" s="19" t="s">
        <v>60</v>
      </c>
      <c r="V41" s="20"/>
      <c r="W41" s="20"/>
      <c r="X41" s="19"/>
      <c r="Y41" s="9"/>
      <c r="Z41" s="21"/>
      <c r="AA41" s="21"/>
      <c r="AB41" s="21"/>
      <c r="AC41" s="22"/>
      <c r="AD41" s="22"/>
      <c r="AE41" s="23"/>
      <c r="AF41"/>
      <c r="AG41"/>
      <c r="AH41"/>
      <c r="AI41"/>
    </row>
    <row r="42" spans="1:35" ht="15" customHeight="1">
      <c r="A42" s="24" t="s">
        <v>105</v>
      </c>
      <c r="B42" s="15"/>
      <c r="C42" s="6"/>
      <c r="D42" s="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2"/>
      <c r="P42" s="2"/>
      <c r="Q42" s="2"/>
      <c r="R42" s="17"/>
      <c r="S42" s="18"/>
      <c r="T42" s="18"/>
      <c r="U42" s="25" t="s">
        <v>61</v>
      </c>
      <c r="V42" s="18"/>
      <c r="W42" s="18"/>
      <c r="X42" s="25"/>
      <c r="Y42" s="10"/>
      <c r="Z42" s="26"/>
      <c r="AA42" s="27"/>
      <c r="AB42" s="27"/>
      <c r="AC42" s="28"/>
      <c r="AD42" s="28"/>
      <c r="AE42" s="29"/>
      <c r="AF42"/>
      <c r="AG42"/>
      <c r="AH42"/>
      <c r="AI42"/>
    </row>
    <row r="43" spans="1:35" ht="15" customHeight="1">
      <c r="A43" s="24" t="s">
        <v>24</v>
      </c>
      <c r="B43" s="15"/>
      <c r="C43" s="6"/>
      <c r="D43" s="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"/>
      <c r="P43" s="2"/>
      <c r="Q43" s="2"/>
      <c r="R43" s="17"/>
      <c r="S43" s="18"/>
      <c r="T43" s="18"/>
      <c r="U43" s="37"/>
      <c r="V43" s="30"/>
      <c r="W43" s="30"/>
      <c r="X43" s="25"/>
      <c r="Y43" s="30"/>
      <c r="Z43" s="30"/>
      <c r="AA43" s="30"/>
      <c r="AB43" s="30"/>
      <c r="AC43" s="30"/>
      <c r="AD43" s="30"/>
      <c r="AE43" s="29"/>
      <c r="AF43"/>
      <c r="AG43"/>
      <c r="AH43"/>
      <c r="AI43"/>
    </row>
    <row r="44" spans="1:35" ht="15" customHeight="1">
      <c r="A44" s="24" t="s">
        <v>29</v>
      </c>
      <c r="B44" s="31"/>
      <c r="C44" s="6"/>
      <c r="D44" s="6"/>
      <c r="E44" s="16"/>
      <c r="F44" s="16"/>
      <c r="G44" s="16"/>
      <c r="H44" s="16"/>
      <c r="I44" s="16"/>
      <c r="J44" s="16"/>
      <c r="K44" s="2"/>
      <c r="L44" s="32"/>
      <c r="M44" s="16"/>
      <c r="N44" s="16"/>
      <c r="O44" s="2"/>
      <c r="P44" s="2"/>
      <c r="Q44" s="2"/>
      <c r="R44" s="17"/>
      <c r="S44" s="18"/>
      <c r="T44" s="18"/>
      <c r="U44" s="25" t="s">
        <v>66</v>
      </c>
      <c r="V44" s="18"/>
      <c r="W44" s="30"/>
      <c r="X44" s="30"/>
      <c r="Y44" s="30"/>
      <c r="Z44" s="30"/>
      <c r="AA44" s="30"/>
      <c r="AB44" s="30"/>
      <c r="AC44" s="30"/>
      <c r="AD44" s="30"/>
      <c r="AE44" s="29"/>
      <c r="AF44"/>
      <c r="AG44"/>
      <c r="AH44"/>
      <c r="AI44"/>
    </row>
    <row r="45" spans="1:35" ht="15" customHeight="1">
      <c r="A45" s="51" t="s">
        <v>34</v>
      </c>
      <c r="B45" s="31"/>
      <c r="C45" s="39" t="s">
        <v>69</v>
      </c>
      <c r="D45" s="11"/>
      <c r="E45" s="34"/>
      <c r="F45" s="34"/>
      <c r="G45" s="35"/>
      <c r="J45" s="32" t="s">
        <v>70</v>
      </c>
      <c r="K45" s="50"/>
      <c r="L45" s="36"/>
      <c r="M45" s="2"/>
      <c r="N45" s="17"/>
      <c r="O45" s="18"/>
      <c r="P45" s="39"/>
      <c r="Q45" s="2"/>
      <c r="R45" s="39"/>
      <c r="S45" s="18"/>
      <c r="T45" s="18"/>
      <c r="U45" s="37" t="s">
        <v>67</v>
      </c>
      <c r="V45" s="18"/>
      <c r="W45" s="30"/>
      <c r="X45" s="30"/>
      <c r="Y45" s="30"/>
      <c r="Z45" s="30"/>
      <c r="AA45" s="30"/>
      <c r="AB45" s="30"/>
      <c r="AC45" s="30"/>
      <c r="AD45" s="30"/>
      <c r="AE45" s="38"/>
      <c r="AF45"/>
      <c r="AG45"/>
      <c r="AH45"/>
      <c r="AI45"/>
    </row>
    <row r="46" spans="1:35" ht="15" customHeight="1">
      <c r="A46" s="51" t="s">
        <v>33</v>
      </c>
      <c r="B46" s="31"/>
      <c r="C46" s="39"/>
      <c r="D46" s="6"/>
      <c r="E46" s="16"/>
      <c r="F46" s="16"/>
      <c r="G46" s="16"/>
      <c r="H46" s="32"/>
      <c r="I46" s="16"/>
      <c r="J46" s="16"/>
      <c r="K46" s="16"/>
      <c r="L46" s="16"/>
      <c r="M46" s="16"/>
      <c r="N46" s="16"/>
      <c r="O46" s="2"/>
      <c r="P46" s="40"/>
      <c r="Q46" s="40"/>
      <c r="R46" s="41"/>
      <c r="S46" s="18"/>
      <c r="T46" s="18"/>
      <c r="U46" s="25"/>
      <c r="V46" s="30"/>
      <c r="W46" s="42"/>
      <c r="X46" s="42"/>
      <c r="Y46" s="42"/>
      <c r="Z46" s="42"/>
      <c r="AA46" s="42"/>
      <c r="AB46" s="42"/>
      <c r="AC46" s="42"/>
      <c r="AD46" s="42"/>
      <c r="AE46" s="38"/>
      <c r="AF46"/>
      <c r="AG46"/>
      <c r="AH46"/>
      <c r="AI46"/>
    </row>
    <row r="47" spans="1:35" ht="15" customHeight="1">
      <c r="A47" s="33"/>
      <c r="B47" s="43"/>
      <c r="C47" s="7"/>
      <c r="D47" s="7"/>
      <c r="E47" s="16"/>
      <c r="F47" s="16"/>
      <c r="G47" s="16"/>
      <c r="H47" s="16"/>
      <c r="I47" s="16"/>
      <c r="J47" s="36"/>
      <c r="K47" s="36"/>
      <c r="L47" s="36"/>
      <c r="M47" s="36"/>
      <c r="N47" s="36"/>
      <c r="O47" s="40"/>
      <c r="P47" s="40"/>
      <c r="Q47" s="40"/>
      <c r="R47" s="41"/>
      <c r="S47" s="18"/>
      <c r="T47" s="18"/>
      <c r="U47" s="52" t="s">
        <v>48</v>
      </c>
      <c r="V47" s="18"/>
      <c r="W47" s="30"/>
      <c r="X47" s="30"/>
      <c r="Y47" s="30"/>
      <c r="Z47" s="30"/>
      <c r="AA47" s="30"/>
      <c r="AB47" s="30"/>
      <c r="AC47" s="30"/>
      <c r="AD47" s="30"/>
      <c r="AE47" s="44"/>
      <c r="AF47"/>
      <c r="AG47"/>
      <c r="AH47"/>
      <c r="AI47"/>
    </row>
    <row r="48" spans="1:35" ht="15" customHeight="1">
      <c r="A48" s="24" t="s">
        <v>30</v>
      </c>
      <c r="B48" s="43"/>
      <c r="C48" s="30"/>
      <c r="D48" s="30"/>
      <c r="E48" s="30"/>
      <c r="F48" s="30"/>
      <c r="G48" s="30"/>
      <c r="H48" s="30"/>
      <c r="I48" s="30"/>
      <c r="J48" s="36"/>
      <c r="K48" s="36"/>
      <c r="L48" s="36"/>
      <c r="M48" s="36"/>
      <c r="N48" s="36"/>
      <c r="O48" s="40"/>
      <c r="P48" s="40"/>
      <c r="Q48" s="40"/>
      <c r="R48" s="41"/>
      <c r="S48" s="18"/>
      <c r="T48" s="18"/>
      <c r="U48" s="52" t="s">
        <v>49</v>
      </c>
      <c r="V48" s="18"/>
      <c r="W48" s="30"/>
      <c r="X48" s="30"/>
      <c r="Y48" s="30"/>
      <c r="Z48" s="30"/>
      <c r="AA48" s="30"/>
      <c r="AB48" s="30"/>
      <c r="AC48" s="30"/>
      <c r="AD48" s="30"/>
      <c r="AE48" s="44"/>
      <c r="AF48"/>
      <c r="AG48"/>
      <c r="AH48"/>
      <c r="AI48"/>
    </row>
    <row r="49" spans="1:35" ht="15" customHeight="1">
      <c r="A49" s="45" t="s">
        <v>35</v>
      </c>
      <c r="B49" s="46"/>
      <c r="C49" s="8"/>
      <c r="D49" s="8"/>
      <c r="E49" s="8"/>
      <c r="F49" s="8"/>
      <c r="G49" s="8"/>
      <c r="H49" s="8"/>
      <c r="I49" s="8"/>
      <c r="J49" s="13"/>
      <c r="K49" s="13"/>
      <c r="L49" s="13"/>
      <c r="M49" s="13"/>
      <c r="N49" s="13"/>
      <c r="O49" s="12"/>
      <c r="P49" s="12"/>
      <c r="Q49" s="12"/>
      <c r="R49" s="47"/>
      <c r="S49" s="48"/>
      <c r="T49" s="48"/>
      <c r="U49" s="49"/>
      <c r="V49" s="48"/>
      <c r="W49" s="8"/>
      <c r="X49" s="8"/>
      <c r="Y49" s="8"/>
      <c r="Z49" s="8"/>
      <c r="AA49" s="8"/>
      <c r="AB49" s="8"/>
      <c r="AC49" s="8"/>
      <c r="AD49" s="8"/>
      <c r="AE49" s="1" t="s">
        <v>16</v>
      </c>
      <c r="AF49"/>
      <c r="AG49"/>
      <c r="AH49"/>
      <c r="AI49"/>
    </row>
  </sheetData>
  <mergeCells count="180">
    <mergeCell ref="A1:F1"/>
    <mergeCell ref="G1:N1"/>
    <mergeCell ref="O1:Q1"/>
    <mergeCell ref="R1:Y1"/>
    <mergeCell ref="Z1:AE1"/>
    <mergeCell ref="A2:F9"/>
    <mergeCell ref="G2:N4"/>
    <mergeCell ref="O2:Q9"/>
    <mergeCell ref="R2:R5"/>
    <mergeCell ref="S2:Y5"/>
    <mergeCell ref="AG8:AG9"/>
    <mergeCell ref="AH8:AH9"/>
    <mergeCell ref="A10:B10"/>
    <mergeCell ref="C10:D10"/>
    <mergeCell ref="E10:N10"/>
    <mergeCell ref="O10:Q10"/>
    <mergeCell ref="R10:Y10"/>
    <mergeCell ref="Z10:AE10"/>
    <mergeCell ref="Z2:AE6"/>
    <mergeCell ref="G5:N9"/>
    <mergeCell ref="R6:R9"/>
    <mergeCell ref="S6:Y9"/>
    <mergeCell ref="Z7:AE9"/>
    <mergeCell ref="AF8:AF9"/>
    <mergeCell ref="AH11:AH12"/>
    <mergeCell ref="AI11:AI12"/>
    <mergeCell ref="Z13:AB14"/>
    <mergeCell ref="AC13:AD14"/>
    <mergeCell ref="AE13:AE14"/>
    <mergeCell ref="AF13:AF14"/>
    <mergeCell ref="AG13:AG14"/>
    <mergeCell ref="AH13:AH14"/>
    <mergeCell ref="AI13:AI14"/>
    <mergeCell ref="Z11:AB12"/>
    <mergeCell ref="AC11:AD12"/>
    <mergeCell ref="AE11:AE12"/>
    <mergeCell ref="AF11:AF12"/>
    <mergeCell ref="AG11:AG12"/>
    <mergeCell ref="AG15:AG16"/>
    <mergeCell ref="AH15:AH16"/>
    <mergeCell ref="AI15:AI16"/>
    <mergeCell ref="A17:A22"/>
    <mergeCell ref="B17:B20"/>
    <mergeCell ref="C17:D22"/>
    <mergeCell ref="E17:N22"/>
    <mergeCell ref="O17:Q22"/>
    <mergeCell ref="R17:W20"/>
    <mergeCell ref="X17:Y22"/>
    <mergeCell ref="X11:Y16"/>
    <mergeCell ref="Z15:AB16"/>
    <mergeCell ref="AC15:AD16"/>
    <mergeCell ref="AE15:AE16"/>
    <mergeCell ref="AF15:AF16"/>
    <mergeCell ref="A11:A16"/>
    <mergeCell ref="B11:B14"/>
    <mergeCell ref="C11:D16"/>
    <mergeCell ref="E11:N16"/>
    <mergeCell ref="O11:Q16"/>
    <mergeCell ref="R11:W14"/>
    <mergeCell ref="B15:B16"/>
    <mergeCell ref="R15:R16"/>
    <mergeCell ref="S15:W16"/>
    <mergeCell ref="AI17:AI18"/>
    <mergeCell ref="Z19:AB20"/>
    <mergeCell ref="AC19:AD20"/>
    <mergeCell ref="AE19:AE20"/>
    <mergeCell ref="AF19:AF20"/>
    <mergeCell ref="AG19:AG20"/>
    <mergeCell ref="AH19:AH20"/>
    <mergeCell ref="AI19:AI20"/>
    <mergeCell ref="Z17:AB18"/>
    <mergeCell ref="AC17:AD18"/>
    <mergeCell ref="AE17:AE18"/>
    <mergeCell ref="AF17:AF18"/>
    <mergeCell ref="AG17:AG18"/>
    <mergeCell ref="AH17:AH18"/>
    <mergeCell ref="AF21:AF22"/>
    <mergeCell ref="AG21:AG22"/>
    <mergeCell ref="AH21:AH22"/>
    <mergeCell ref="AI21:AI22"/>
    <mergeCell ref="A23:A28"/>
    <mergeCell ref="B23:B26"/>
    <mergeCell ref="C23:D28"/>
    <mergeCell ref="E23:N28"/>
    <mergeCell ref="O23:Q28"/>
    <mergeCell ref="R23:W26"/>
    <mergeCell ref="B21:B22"/>
    <mergeCell ref="R21:R22"/>
    <mergeCell ref="S21:W22"/>
    <mergeCell ref="Z21:AB22"/>
    <mergeCell ref="AC21:AD22"/>
    <mergeCell ref="AE21:AE22"/>
    <mergeCell ref="AH23:AH24"/>
    <mergeCell ref="AI23:AI24"/>
    <mergeCell ref="Z25:AB26"/>
    <mergeCell ref="AC25:AD26"/>
    <mergeCell ref="AE25:AE26"/>
    <mergeCell ref="AF25:AF26"/>
    <mergeCell ref="AG25:AG26"/>
    <mergeCell ref="AH25:AH26"/>
    <mergeCell ref="AI25:AI26"/>
    <mergeCell ref="Z23:AB24"/>
    <mergeCell ref="AC23:AD24"/>
    <mergeCell ref="AE23:AE24"/>
    <mergeCell ref="AF23:AF24"/>
    <mergeCell ref="AG23:AG24"/>
    <mergeCell ref="AC29:AD30"/>
    <mergeCell ref="AE29:AE30"/>
    <mergeCell ref="AF29:AF30"/>
    <mergeCell ref="AG29:AG30"/>
    <mergeCell ref="AH29:AH30"/>
    <mergeCell ref="AI29:AI30"/>
    <mergeCell ref="AH27:AH28"/>
    <mergeCell ref="AI27:AI28"/>
    <mergeCell ref="AC27:AD28"/>
    <mergeCell ref="AE27:AE28"/>
    <mergeCell ref="AF27:AF28"/>
    <mergeCell ref="AG27:AG28"/>
    <mergeCell ref="A29:A34"/>
    <mergeCell ref="B29:B32"/>
    <mergeCell ref="C29:D34"/>
    <mergeCell ref="E29:N34"/>
    <mergeCell ref="O29:Q34"/>
    <mergeCell ref="R29:W32"/>
    <mergeCell ref="X29:Y34"/>
    <mergeCell ref="Z29:AB30"/>
    <mergeCell ref="B27:B28"/>
    <mergeCell ref="R27:R28"/>
    <mergeCell ref="S27:W28"/>
    <mergeCell ref="Z27:AB28"/>
    <mergeCell ref="X23:Y28"/>
    <mergeCell ref="AI31:AI32"/>
    <mergeCell ref="B33:B34"/>
    <mergeCell ref="R33:R34"/>
    <mergeCell ref="S33:W34"/>
    <mergeCell ref="Z33:AB34"/>
    <mergeCell ref="AC33:AD34"/>
    <mergeCell ref="AE33:AE34"/>
    <mergeCell ref="AF33:AF34"/>
    <mergeCell ref="AG33:AG34"/>
    <mergeCell ref="AH33:AH34"/>
    <mergeCell ref="Z31:AB32"/>
    <mergeCell ref="AC31:AD32"/>
    <mergeCell ref="AE31:AE32"/>
    <mergeCell ref="AF31:AF32"/>
    <mergeCell ref="AG31:AG32"/>
    <mergeCell ref="AH31:AH32"/>
    <mergeCell ref="AI33:AI34"/>
    <mergeCell ref="A35:A40"/>
    <mergeCell ref="B35:B38"/>
    <mergeCell ref="C35:D40"/>
    <mergeCell ref="E35:N37"/>
    <mergeCell ref="O35:Q40"/>
    <mergeCell ref="R35:W38"/>
    <mergeCell ref="X35:Y40"/>
    <mergeCell ref="Z35:AB36"/>
    <mergeCell ref="AC35:AD36"/>
    <mergeCell ref="AE35:AE36"/>
    <mergeCell ref="AF35:AF36"/>
    <mergeCell ref="AG35:AG36"/>
    <mergeCell ref="AH35:AH36"/>
    <mergeCell ref="AI35:AI36"/>
    <mergeCell ref="Z37:AB38"/>
    <mergeCell ref="AC37:AD38"/>
    <mergeCell ref="AE37:AE38"/>
    <mergeCell ref="AF37:AF38"/>
    <mergeCell ref="AG37:AG38"/>
    <mergeCell ref="AG39:AG40"/>
    <mergeCell ref="AH39:AH40"/>
    <mergeCell ref="AI39:AI40"/>
    <mergeCell ref="AH37:AH38"/>
    <mergeCell ref="AI37:AI38"/>
    <mergeCell ref="E38:N40"/>
    <mergeCell ref="B39:B40"/>
    <mergeCell ref="R39:R40"/>
    <mergeCell ref="S39:W40"/>
    <mergeCell ref="Z39:AB40"/>
    <mergeCell ref="AC39:AD40"/>
    <mergeCell ref="AE39:AE40"/>
    <mergeCell ref="AF39:AF40"/>
  </mergeCells>
  <phoneticPr fontId="3"/>
  <pageMargins left="0.19685039370078741" right="0.19685039370078741" top="0.19685039370078741" bottom="0.19685039370078741" header="0" footer="0"/>
  <pageSetup paperSize="9" scale="69" orientation="landscape" r:id="rId1"/>
  <headerFooter>
    <oddFooter>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Life(2)</vt:lpstr>
      <vt:lpstr>Life(1)</vt:lpstr>
      <vt:lpstr>狩野(2)</vt:lpstr>
      <vt:lpstr>狩野(1)</vt:lpstr>
      <vt:lpstr>1(2)</vt:lpstr>
      <vt:lpstr>1(1)</vt:lpstr>
      <vt:lpstr>'1(1)'!Print_Area</vt:lpstr>
      <vt:lpstr>'1(2)'!Print_Area</vt:lpstr>
      <vt:lpstr>'Life(1)'!Print_Area</vt:lpstr>
      <vt:lpstr>'Life(2)'!Print_Area</vt:lpstr>
      <vt:lpstr>'狩野(1)'!Print_Area</vt:lpstr>
      <vt:lpstr>'狩野(2)'!Print_Area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竜石堂</dc:creator>
  <cp:lastModifiedBy>JUN RYUSEKIDO</cp:lastModifiedBy>
  <cp:lastPrinted>2026-07-17T04:27:22Z</cp:lastPrinted>
  <dcterms:created xsi:type="dcterms:W3CDTF">2024-11-25T04:32:21Z</dcterms:created>
  <dcterms:modified xsi:type="dcterms:W3CDTF">2026-07-17T06:46:16Z</dcterms:modified>
</cp:coreProperties>
</file>